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us Report" sheetId="1" state="visible" r:id="rId1"/>
    <sheet xmlns:r="http://schemas.openxmlformats.org/officeDocument/2006/relationships" name="Work Items" sheetId="2" state="visible" r:id="rId2"/>
    <sheet xmlns:r="http://schemas.openxmlformats.org/officeDocument/2006/relationships" name="Decisions" sheetId="3" state="visible" r:id="rId3"/>
    <sheet xmlns:r="http://schemas.openxmlformats.org/officeDocument/2006/relationships" name="Open Decisions" sheetId="4" state="visible" r:id="rId4"/>
    <sheet xmlns:r="http://schemas.openxmlformats.org/officeDocument/2006/relationships" name="Planned Sequence" sheetId="5" state="visible" r:id="rId5"/>
    <sheet xmlns:r="http://schemas.openxmlformats.org/officeDocument/2006/relationships" name="Suggestions" sheetId="6" state="visible" r:id="rId6"/>
    <sheet xmlns:r="http://schemas.openxmlformats.org/officeDocument/2006/relationships" name="Options Considered" sheetId="7" state="visible" r:id="rId7"/>
    <sheet xmlns:r="http://schemas.openxmlformats.org/officeDocument/2006/relationships" name="Issues"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i val="1"/>
      <color rgb="00595959"/>
      <sz val="9"/>
    </font>
    <font>
      <name val="Arial"/>
      <b val="1"/>
      <color rgb="001F3864"/>
      <sz val="11"/>
    </font>
    <font>
      <name val="Arial"/>
      <b val="1"/>
      <color rgb="00FFFFFF"/>
      <sz val="10"/>
    </font>
    <font>
      <name val="Arial"/>
      <sz val="10"/>
    </font>
    <font>
      <name val="Arial"/>
      <b val="1"/>
      <sz val="10"/>
    </font>
    <font>
      <name val="Arial"/>
      <sz val="9"/>
    </font>
  </fonts>
  <fills count="7">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pivotButton="0" quotePrefix="0" xfId="0"/>
    <xf numFmtId="0" fontId="6" fillId="0" borderId="1" applyAlignment="1" pivotButton="0" quotePrefix="0" xfId="0">
      <alignment horizontal="center"/>
    </xf>
    <xf numFmtId="0" fontId="7" fillId="0" borderId="1" applyAlignment="1" pivotButton="0" quotePrefix="0" xfId="0">
      <alignment vertical="top" wrapText="1"/>
    </xf>
    <xf numFmtId="0" fontId="7" fillId="3" borderId="1" applyAlignment="1" pivotButton="0" quotePrefix="0" xfId="0">
      <alignment vertical="top" wrapText="1"/>
    </xf>
    <xf numFmtId="0" fontId="7" fillId="4"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34" customWidth="1" min="1" max="1"/>
    <col width="46" customWidth="1" min="2" max="2"/>
    <col width="62" customWidth="1" min="3" max="3"/>
    <col width="20" customWidth="1" min="4" max="4"/>
    <col width="20" customWidth="1" min="5" max="5"/>
    <col width="20" customWidth="1" min="6" max="6"/>
  </cols>
  <sheetData>
    <row r="1" ht="20" customHeight="1">
      <c r="A1" s="1" t="inlineStr">
        <is>
          <t>KONSTRYX — Build Status Report</t>
        </is>
      </c>
    </row>
    <row r="2">
      <c r="A2" s="2" t="inlineStr">
        <is>
          <t>Product: SAP BTP extension for EC&amp;O · CAP Java + SAPUI5 · dedicated deployment per client</t>
        </is>
      </c>
    </row>
    <row r="4">
      <c r="A4" s="3" t="inlineStr">
        <is>
          <t>Snapshot</t>
        </is>
      </c>
    </row>
    <row r="5" ht="28" customHeight="1">
      <c r="A5" s="4" t="inlineStr">
        <is>
          <t>Metric</t>
        </is>
      </c>
      <c r="B5" s="4" t="inlineStr">
        <is>
          <t>Count</t>
        </is>
      </c>
      <c r="C5" s="4" t="inlineStr"/>
      <c r="D5" s="4" t="inlineStr"/>
      <c r="E5" s="4" t="inlineStr"/>
      <c r="F5" s="4" t="inlineStr"/>
    </row>
    <row r="6">
      <c r="A6" s="5" t="inlineStr">
        <is>
          <t>Work items total</t>
        </is>
      </c>
      <c r="B6" s="6">
        <f>COUNTA('Work Items'!B6:B100)</f>
        <v/>
      </c>
    </row>
    <row r="7">
      <c r="A7" s="5" t="inlineStr">
        <is>
          <t>Done</t>
        </is>
      </c>
      <c r="B7" s="6">
        <f>COUNTIF('Work Items'!E6:E100,"Done")</f>
        <v/>
      </c>
    </row>
    <row r="8">
      <c r="A8" s="5" t="inlineStr">
        <is>
          <t>In progress</t>
        </is>
      </c>
      <c r="B8" s="6">
        <f>COUNTIF('Work Items'!E6:E100,"In progress")</f>
        <v/>
      </c>
    </row>
    <row r="9">
      <c r="A9" s="5" t="inlineStr">
        <is>
          <t>Not started</t>
        </is>
      </c>
      <c r="B9" s="6">
        <f>COUNTIF('Work Items'!E6:E100,"Not started")</f>
        <v/>
      </c>
    </row>
    <row r="10">
      <c r="A10" s="5" t="inlineStr">
        <is>
          <t>Blocked / at risk</t>
        </is>
      </c>
      <c r="B10" s="6">
        <f>COUNTIF('Work Items'!E6:E100,"Blocked")+COUNTIF('Work Items'!E6:E100,"At risk")</f>
        <v/>
      </c>
    </row>
    <row r="11">
      <c r="A11" s="5" t="inlineStr">
        <is>
          <t>Decisions taken</t>
        </is>
      </c>
      <c r="B11" s="6">
        <f>COUNTA(Decisions!B6:B100)</f>
        <v/>
      </c>
    </row>
    <row r="12">
      <c r="A12" s="5" t="inlineStr">
        <is>
          <t>Decisions open (need you)</t>
        </is>
      </c>
      <c r="B12" s="6">
        <f>COUNTIF('Open Decisions'!F6:F100,"Open")</f>
        <v/>
      </c>
    </row>
    <row r="13">
      <c r="A13" s="5" t="inlineStr">
        <is>
          <t>Known issues open</t>
        </is>
      </c>
      <c r="B13" s="6">
        <f>COUNTIF(Issues!F6:F100,"Open")+COUNTIF(Issues!F6:F100,"Broken")</f>
        <v/>
      </c>
    </row>
    <row r="14">
      <c r="A14" s="5" t="inlineStr">
        <is>
          <t>Suggestions open</t>
        </is>
      </c>
      <c r="B14" s="6">
        <f>COUNTIF(Suggestions!F6:F100,"Open")</f>
        <v/>
      </c>
    </row>
    <row r="16">
      <c r="A16" s="3" t="inlineStr">
        <is>
          <t>What is running right now</t>
        </is>
      </c>
    </row>
    <row r="17" ht="28" customHeight="1">
      <c r="A17" s="4" t="inlineStr">
        <is>
          <t>Component</t>
        </is>
      </c>
      <c r="B17" s="4" t="inlineStr">
        <is>
          <t>Location</t>
        </is>
      </c>
      <c r="C17" s="4" t="inlineStr">
        <is>
          <t>Notes</t>
        </is>
      </c>
      <c r="D17" s="4" t="inlineStr"/>
      <c r="E17" s="4" t="inlineStr"/>
      <c r="F17" s="4" t="inlineStr"/>
    </row>
    <row r="18">
      <c r="A18" s="7" t="inlineStr">
        <is>
          <t>CAP Java service</t>
        </is>
      </c>
      <c r="B18" s="7" t="inlineStr">
        <is>
          <t>http://localhost:8090</t>
        </is>
      </c>
      <c r="C18" s="7" t="inlineStr">
        <is>
          <t>8 OData V4 services, H2, seeded, auth enforced</t>
        </is>
      </c>
    </row>
    <row r="19">
      <c r="A19" s="7" t="inlineStr">
        <is>
          <t>UI5 app</t>
        </is>
      </c>
      <c r="B19" s="7" t="inlineStr">
        <is>
          <t>http://localhost:8081</t>
        </is>
      </c>
      <c r="C19" s="7" t="inlineStr">
        <is>
          <t>serve.py proxies /odata to 8090 (same origin)</t>
        </is>
      </c>
    </row>
    <row r="20">
      <c r="A20" s="7" t="inlineStr">
        <is>
          <t>Repository</t>
        </is>
      </c>
      <c r="B20" s="7" t="inlineStr">
        <is>
          <t>C:\Users\Ziya\Documents\Claude\Projects\KONSTRYX DEV</t>
        </is>
      </c>
      <c r="C20" s="7" t="inlineStr">
        <is>
          <t>git, 48 commits</t>
        </is>
      </c>
    </row>
    <row r="21">
      <c r="A21" s="7" t="inlineStr">
        <is>
          <t>Reference (read-only)</t>
        </is>
      </c>
      <c r="B21" s="7" t="inlineStr">
        <is>
          <t>OneDrive Products/konstrux/Konstrucx</t>
        </is>
      </c>
      <c r="C21" s="7" t="inlineStr">
        <is>
          <t>FTS, wireframe v12, requirements, backlog</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
  <sheetViews>
    <sheetView showGridLines="0" workbookViewId="0">
      <pane ySplit="5" topLeftCell="A6" activePane="bottomLeft" state="frozen"/>
      <selection pane="bottomLeft" activeCell="A1" sqref="A1"/>
    </sheetView>
  </sheetViews>
  <sheetFormatPr baseColWidth="8" defaultRowHeight="15"/>
  <cols>
    <col width="8" customWidth="1" min="1" max="1"/>
    <col width="15" customWidth="1" min="2" max="2"/>
    <col width="30" customWidth="1" min="3" max="3"/>
    <col width="52" customWidth="1" min="4" max="4"/>
    <col width="13" customWidth="1" min="5" max="5"/>
    <col width="56" customWidth="1" min="6" max="6"/>
    <col width="30" customWidth="1" min="7" max="7"/>
  </cols>
  <sheetData>
    <row r="1" ht="20" customHeight="1">
      <c r="A1" s="1" t="inlineStr">
        <is>
          <t>Work Items — planned and completed</t>
        </is>
      </c>
    </row>
    <row r="2">
      <c r="A2" s="2" t="inlineStr">
        <is>
          <t>Status: Done · In progress · Not started · Blocked · At risk</t>
        </is>
      </c>
    </row>
    <row r="5" ht="28" customHeight="1">
      <c r="A5" s="4" t="inlineStr">
        <is>
          <t>ID</t>
        </is>
      </c>
      <c r="B5" s="4" t="inlineStr">
        <is>
          <t>Workstream</t>
        </is>
      </c>
      <c r="C5" s="4" t="inlineStr">
        <is>
          <t>Item</t>
        </is>
      </c>
      <c r="D5" s="4" t="inlineStr">
        <is>
          <t>Detail</t>
        </is>
      </c>
      <c r="E5" s="4" t="inlineStr">
        <is>
          <t>Status</t>
        </is>
      </c>
      <c r="F5" s="4" t="inlineStr">
        <is>
          <t>Evidence / verification</t>
        </is>
      </c>
      <c r="G5" s="4" t="inlineStr">
        <is>
          <t>Next action</t>
        </is>
      </c>
    </row>
    <row r="6">
      <c r="A6" s="7" t="inlineStr">
        <is>
          <t>P-01</t>
        </is>
      </c>
      <c r="B6" s="7" t="inlineStr">
        <is>
          <t>Platform</t>
        </is>
      </c>
      <c r="C6" s="7" t="inlineStr">
        <is>
          <t>JDK 17 + Maven toolchain</t>
        </is>
      </c>
      <c r="D6" s="7" t="inlineStr">
        <is>
          <t>SapMachine 17.0.20, Maven 3.9.16, JAVA_HOME set at user scope</t>
        </is>
      </c>
      <c r="E6" s="8" t="inlineStr">
        <is>
          <t>Done</t>
        </is>
      </c>
      <c r="F6" s="7" t="inlineStr">
        <is>
          <t>java -version / mvn -v both report expected versions</t>
        </is>
      </c>
      <c r="G6" s="7" t="inlineStr">
        <is>
          <t>—</t>
        </is>
      </c>
    </row>
    <row r="7">
      <c r="A7" s="7" t="inlineStr">
        <is>
          <t>P-02</t>
        </is>
      </c>
      <c r="B7" s="7" t="inlineStr">
        <is>
          <t>Platform</t>
        </is>
      </c>
      <c r="C7" s="7" t="inlineStr">
        <is>
          <t>Build workspace + version control</t>
        </is>
      </c>
      <c r="D7" s="7" t="inlineStr">
        <is>
          <t>Repo outside OneDrive at Documents\Claude\Projects\KONSTRYX DEV; git init; .gitignore</t>
        </is>
      </c>
      <c r="E7" s="8" t="inlineStr">
        <is>
          <t>Done</t>
        </is>
      </c>
      <c r="F7" s="7" t="inlineStr">
        <is>
          <t>9 commits on main</t>
        </is>
      </c>
      <c r="G7" s="7" t="inlineStr">
        <is>
          <t>—</t>
        </is>
      </c>
    </row>
    <row r="8">
      <c r="A8" s="7" t="inlineStr">
        <is>
          <t>P-03</t>
        </is>
      </c>
      <c r="B8" s="7" t="inlineStr">
        <is>
          <t>Platform</t>
        </is>
      </c>
      <c r="C8" s="7" t="inlineStr">
        <is>
          <t>CAP Java service builds and runs</t>
        </is>
      </c>
      <c r="D8" s="7" t="inlineStr">
        <is>
          <t>Fixed 5 blocking defects in the Sprint 0 skeleton</t>
        </is>
      </c>
      <c r="E8" s="8" t="inlineStr">
        <is>
          <t>Done</t>
        </is>
      </c>
      <c r="F8" s="7" t="inlineStr">
        <is>
          <t>All 8 OData V4 services return metadata and data</t>
        </is>
      </c>
      <c r="G8" s="7" t="inlineStr">
        <is>
          <t>—</t>
        </is>
      </c>
    </row>
    <row r="9">
      <c r="A9" s="7" t="inlineStr">
        <is>
          <t>P-04</t>
        </is>
      </c>
      <c r="B9" s="7" t="inlineStr">
        <is>
          <t>Platform</t>
        </is>
      </c>
      <c r="C9" s="7" t="inlineStr">
        <is>
          <t>Local DB + mock personas</t>
        </is>
      </c>
      <c r="D9" s="7" t="inlineStr">
        <is>
          <t>H2 embedded, 5 mock users mirroring xs-security role templates</t>
        </is>
      </c>
      <c r="E9" s="8" t="inlineStr">
        <is>
          <t>Done</t>
        </is>
      </c>
      <c r="F9" s="7" t="inlineStr">
        <is>
          <t>Persona-based 403s observed as designed</t>
        </is>
      </c>
      <c r="G9" s="7" t="inlineStr">
        <is>
          <t>—</t>
        </is>
      </c>
    </row>
    <row r="10">
      <c r="A10" s="7" t="inlineStr">
        <is>
          <t>P-05</t>
        </is>
      </c>
      <c r="B10" s="7" t="inlineStr">
        <is>
          <t>Platform</t>
        </is>
      </c>
      <c r="C10" s="7" t="inlineStr">
        <is>
          <t>Test data separated from product data</t>
        </is>
      </c>
      <c r="D10" s="7" t="inlineStr">
        <is>
          <t>13 fixtures moved db/data -&gt; test/data; both Node and Java config layers set</t>
        </is>
      </c>
      <c r="E10" s="8" t="inlineStr">
        <is>
          <t>Done</t>
        </is>
      </c>
      <c r="F10" s="7" t="inlineStr">
        <is>
          <t>cds build --production emits only currency code list; no PRJ-001/Emaar in output</t>
        </is>
      </c>
      <c r="G10" s="7" t="inlineStr">
        <is>
          <t>—</t>
        </is>
      </c>
    </row>
    <row r="11">
      <c r="A11" s="7" t="inlineStr">
        <is>
          <t>P-07</t>
        </is>
      </c>
      <c r="B11" s="7" t="inlineStr">
        <is>
          <t>Platform</t>
        </is>
      </c>
      <c r="C11" s="7" t="inlineStr">
        <is>
          <t>Delivered content pack mechanism</t>
        </is>
      </c>
      <c r="D11" s="7" t="inlineStr">
        <is>
          <t>Versioned packs applied insert-if-missing, in version order; ships in the jar and readable from ./content; applyContentPacks admin action for upgrades without restart</t>
        </is>
      </c>
      <c r="E11" s="8" t="inlineStr">
        <is>
          <t>Done</t>
        </is>
      </c>
      <c r="F11" s="7" t="inlineStr">
        <is>
          <t>Client edit survived an upgrade pack that contained the same row: 1 inserted, 1 left untouched, client scope preserved</t>
        </is>
      </c>
      <c r="G11" s="7" t="inlineStr">
        <is>
          <t>Reuse for the EC&amp;O starter pack (Q-02)</t>
        </is>
      </c>
    </row>
    <row r="12">
      <c r="A12" s="7" t="inlineStr">
        <is>
          <t>P-06</t>
        </is>
      </c>
      <c r="B12" s="7" t="inlineStr">
        <is>
          <t>Platform</t>
        </is>
      </c>
      <c r="C12" s="7" t="inlineStr">
        <is>
          <t>Document number ranges</t>
        </is>
      </c>
      <c r="D12" s="7" t="inlineStr">
        <is>
          <t>Configurable per object: scope GLOBAL or COMPANY, and pattern, set independently</t>
        </is>
      </c>
      <c r="E12" s="8" t="inlineStr">
        <is>
          <t>Done</t>
        </is>
      </c>
      <c r="F12" s="7" t="inlineStr">
        <is>
          <t>GLOBAL issues RR-2026-0001/RES-2026-0001; COMPANY issues BUD-INFC-2026-0001 and BUD-PMI-2026-0001 advancing independently; numbers issued on draft activation, not draft creation</t>
        </is>
      </c>
      <c r="G12" s="7" t="inlineStr">
        <is>
          <t>—</t>
        </is>
      </c>
    </row>
    <row r="13">
      <c r="A13" s="7" t="inlineStr">
        <is>
          <t>A-01</t>
        </is>
      </c>
      <c r="B13" s="7" t="inlineStr">
        <is>
          <t>Authorization</t>
        </is>
      </c>
      <c r="C13" s="7" t="inlineStr">
        <is>
          <t>Authorization model (S/4 style)</t>
        </is>
      </c>
      <c r="D13" s="7" t="inlineStr">
        <is>
          <t>AuthObject + Activity + Persona + PersonaPermission + UserAssignment scoped by company/project</t>
        </is>
      </c>
      <c r="E13" s="8" t="inlineStr">
        <is>
          <t>Done</t>
        </is>
      </c>
      <c r="F13" s="7" t="inlineStr">
        <is>
          <t>Catalogue: 7 modules, 21 objects, 6 activities</t>
        </is>
      </c>
      <c r="G13" s="7" t="inlineStr">
        <is>
          <t>—</t>
        </is>
      </c>
    </row>
    <row r="14">
      <c r="A14" s="7" t="inlineStr">
        <is>
          <t>A-02</t>
        </is>
      </c>
      <c r="B14" s="7" t="inlineStr">
        <is>
          <t>Authorization</t>
        </is>
      </c>
      <c r="C14" s="7" t="inlineStr">
        <is>
          <t>EffectivePermission view</t>
        </is>
      </c>
      <c r="D14" s="7" t="inlineStr">
        <is>
          <t>Flattens assignments x grants to answer 'what can this person do'</t>
        </is>
      </c>
      <c r="E14" s="8" t="inlineStr">
        <is>
          <t>Done</t>
        </is>
      </c>
      <c r="F14" s="7" t="inlineStr">
        <is>
          <t>23 rows resolved for the 4 seeded personas</t>
        </is>
      </c>
      <c r="G14" s="7" t="inlineStr">
        <is>
          <t>—</t>
        </is>
      </c>
    </row>
    <row r="15">
      <c r="A15" s="7" t="inlineStr">
        <is>
          <t>A-03</t>
        </is>
      </c>
      <c r="B15" s="7" t="inlineStr">
        <is>
          <t>Authorization</t>
        </is>
      </c>
      <c r="C15" s="7" t="inlineStr">
        <is>
          <t>Runtime enforcement handler</t>
        </is>
      </c>
      <c r="D15" s="7" t="inlineStr">
        <is>
          <t>Activity check + company/project instance filtering on every CRUD event</t>
        </is>
      </c>
      <c r="E15" s="8" t="inlineStr">
        <is>
          <t>Done</t>
        </is>
      </c>
      <c r="F15" s="7" t="inlineStr">
        <is>
          <t>Scoped user sees 4 of 5 requests; unrestricted sees 5; own $filter still ANDs; no grant = 403</t>
        </is>
      </c>
      <c r="G15" s="7" t="inlineStr">
        <is>
          <t>—</t>
        </is>
      </c>
    </row>
    <row r="16">
      <c r="A16" s="7" t="inlineStr">
        <is>
          <t>PS-01</t>
        </is>
      </c>
      <c r="B16" s="7" t="inlineStr">
        <is>
          <t>Project Setup</t>
        </is>
      </c>
      <c r="C16" s="7" t="inlineStr">
        <is>
          <t>Projects and WBS mastered in KONSTRYX</t>
        </is>
      </c>
      <c r="D16" s="7" t="inlineStr">
        <is>
          <t>Draft-enabled and writable; code uniqueness, date agreement, company required, hierarchy cycle guard; sync state protected from hand-editing on both the active record and the draft</t>
        </is>
      </c>
      <c r="E16" s="8" t="inlineStr">
        <is>
          <t>Done</t>
        </is>
      </c>
      <c r="F16" s="7" t="inlineStr">
        <is>
          <t>20 checks: a new project activates NOT_SENT; release refuses a project with no WBS, queues one that has it, refuses a second release; the connector callback moves it FAILED then SENT with the refusal text and attempt count kept</t>
        </is>
      </c>
      <c r="G16" s="7" t="inlineStr">
        <is>
          <t>Primavera import (PS-03)</t>
        </is>
      </c>
    </row>
    <row r="17">
      <c r="A17" s="7" t="inlineStr">
        <is>
          <t>PS-02</t>
        </is>
      </c>
      <c r="B17" s="7" t="inlineStr">
        <is>
          <t>Project Setup</t>
        </is>
      </c>
      <c r="C17" s="7" t="inlineStr">
        <is>
          <t>Outbound sync aspect</t>
        </is>
      </c>
      <c r="D17" s="7" t="inlineStr">
        <is>
          <t>s4outbound, separate from s4mirror because the two directions need opposite defaults — a project created here starts NOT_SENT, not OK</t>
        </is>
      </c>
      <c r="E17" s="8" t="inlineStr">
        <is>
          <t>Done</t>
        </is>
      </c>
      <c r="F17" s="7" t="inlineStr">
        <is>
          <t>Seeded projects read SENT; a new one reads NOT_SENT</t>
        </is>
      </c>
      <c r="G17" s="7" t="inlineStr">
        <is>
          <t>The connector itself needs Q-09</t>
        </is>
      </c>
    </row>
    <row r="18">
      <c r="A18" s="7" t="inlineStr">
        <is>
          <t>PS-03</t>
        </is>
      </c>
      <c r="B18" s="7" t="inlineStr">
        <is>
          <t>Project Setup</t>
        </is>
      </c>
      <c r="C18" s="7" t="inlineStr">
        <is>
          <t>Primavera P6 project import</t>
        </is>
      </c>
      <c r="D18" s="7" t="inlineStr">
        <is>
          <t>P6 XML export creates the project and its WBS tree in one file, through ProjectService so the same validation applies. No PARTIAL mode: a tree only means anything whole. DTDs and external entities switched off on the parser</t>
        </is>
      </c>
      <c r="E18" s="8" t="inlineStr">
        <is>
          <t>Done</t>
        </is>
      </c>
      <c r="F18" s="7" t="inlineStr">
        <is>
          <t>15 checks: dry run changes nothing; a child WBS parents correctly despite preceding its parent in the file; re-import leaves exactly one project and four elements; an XXE attempt is refused and leaks nothing</t>
        </is>
      </c>
      <c r="G18" s="7" t="inlineStr">
        <is>
          <t>P6 activities and the schedule itself are not imported — see S-31</t>
        </is>
      </c>
    </row>
    <row r="19">
      <c r="A19" s="7" t="inlineStr">
        <is>
          <t>PL-02</t>
        </is>
      </c>
      <c r="B19" s="7" t="inlineStr">
        <is>
          <t>Planning</t>
        </is>
      </c>
      <c r="C19" s="7" t="inlineStr">
        <is>
          <t>WBS distribution by template</t>
        </is>
      </c>
      <c r="D19" s="7" t="inlineStr">
        <is>
          <t>TPL-SINGLE / TPL-FLOORS / TPL-ZONES: one decision covers many lines; weighted split with the rounding residue on the last target so VAL-02 passes to the third decimal; re-running replaces rather than stacks; template and splitBasis on every allocation row</t>
        </is>
      </c>
      <c r="E19" s="8" t="inlineStr">
        <is>
          <t>Done</t>
        </is>
      </c>
      <c r="F19" s="7" t="inlineStr">
        <is>
          <t>18 checks: 40/35/25 gives 480/420/300 exactly; thirds of 1000 keep the millimetre; the bulk path takes the whole bill in one decision and the gate flips to Pass</t>
        </is>
      </c>
      <c r="G19" s="7" t="inlineStr">
        <is>
          <t>Distribute dialog on the workbench UI</t>
        </is>
      </c>
    </row>
    <row r="20">
      <c r="A20" s="7" t="inlineStr">
        <is>
          <t>PL-03</t>
        </is>
      </c>
      <c r="B20" s="7" t="inlineStr">
        <is>
          <t>Planning</t>
        </is>
      </c>
      <c r="C20" s="7" t="inlineStr">
        <is>
          <t>Cost Mapping workbench</t>
        </is>
      </c>
      <c r="D20" s="7" t="inlineStr">
        <is>
          <t>Four step tiles (CBS / WBS / Resources / Gate) and an exceptions-only queue with reasons and modest CBS suggestions; Generate Budget Lines disabled while the gate fails, tooltip names why (UI-04). The queue names unrated resources as work items instead of a generate treadmill</t>
        </is>
      </c>
      <c r="E20" s="8" t="inlineStr">
        <is>
          <t>Done</t>
        </is>
      </c>
      <c r="F20" s="7" t="inlineStr">
        <is>
          <t>Browser-verified: 9 honest exceptions across three reasons on the canonical fixture; console clean</t>
        </is>
      </c>
      <c r="G20" s="7" t="inlineStr">
        <is>
          <t>Distribute + rate-fix flows from the queue rows</t>
        </is>
      </c>
    </row>
    <row r="21">
      <c r="A21" s="7" t="inlineStr">
        <is>
          <t>UI-01</t>
        </is>
      </c>
      <c r="B21" s="7" t="inlineStr">
        <is>
          <t>UI</t>
        </is>
      </c>
      <c r="C21" s="7" t="inlineStr">
        <is>
          <t>Projects, BOQ and assigned-CBS screens</t>
        </is>
      </c>
      <c r="D21" s="7" t="inlineStr">
        <is>
          <t>Projects worklist (workplace group, not Masters); BOQ with the canonical F.1 lines, contract vs budget qty side by side, build-up drill, Generate Build-up and Check Gate actions; assigned-CBS screen showing the node, its recipe norms with company variants, and its bill lines</t>
        </is>
      </c>
      <c r="E21" s="8" t="inlineStr">
        <is>
          <t>Done</t>
        </is>
      </c>
      <c r="F21" s="7" t="inlineStr">
        <is>
          <t>Browser-verified: pile-cap shows all 7 published lines summing 1,198.95/m3; the 03.20 link popover leads with the assigned node; console clean</t>
        </is>
      </c>
      <c r="G21" s="7" t="inlineStr">
        <is>
          <t>Cost Mapping workbench (exceptions only, UI-01 of the spec) is next</t>
        </is>
      </c>
    </row>
    <row r="22">
      <c r="A22" s="7" t="inlineStr">
        <is>
          <t>UI-02</t>
        </is>
      </c>
      <c r="B22" s="7" t="inlineStr">
        <is>
          <t>UI</t>
        </is>
      </c>
      <c r="C22" s="7" t="inlineStr">
        <is>
          <t>S/4-style object links, per-user configurable</t>
        </is>
      </c>
      <c r="D22" s="7" t="inlineStr">
        <is>
          <t>An object key is a hyperlink; one target navigates, several open a popover; which targets appear is each user's own choice, persisted through UserVariants. Transaction targets lead; masters are secondary</t>
        </is>
      </c>
      <c r="E22" s="8" t="inlineStr">
        <is>
          <t>Done</t>
        </is>
      </c>
      <c r="F22" s="7" t="inlineStr">
        <is>
          <t>PRJ-001 offers BOQ + Resource Requests; 03.20 offers Assigned CBS + Library</t>
        </is>
      </c>
      <c r="G22" s="7" t="inlineStr">
        <is>
          <t>Roll the registry across every remaining screen with task #12</t>
        </is>
      </c>
    </row>
    <row r="23">
      <c r="A23" s="7" t="inlineStr">
        <is>
          <t>D-23x</t>
        </is>
      </c>
      <c r="B23" s="7" t="inlineStr">
        <is>
          <t>Data</t>
        </is>
      </c>
      <c r="C23" s="7" t="inlineStr">
        <is>
          <t>Canonical mockup data seeded (spec F.1)</t>
        </is>
      </c>
      <c r="D23" s="7" t="inlineStr">
        <is>
          <t>03.10/03.20/03.30 leaves with grade on the attached material row; MP-CIV-CAR-SK-G1 with ALL 1.13 / INFC 1.25 / PMI 0.95; the pile-cap 7-line build-up as IMPORTED at the published figures</t>
        </is>
      </c>
      <c r="E23" s="8" t="inlineStr">
        <is>
          <t>Done</t>
        </is>
      </c>
      <c r="F23" s="7" t="inlineStr">
        <is>
          <t>Per-m3 sum 1,198.95 matches the wireframe to the fils; OPEN-05 residual seeded as published, not invented into agreement</t>
        </is>
      </c>
      <c r="G23" s="7" t="inlineStr">
        <is>
          <t>—</t>
        </is>
      </c>
    </row>
    <row r="24">
      <c r="A24" s="7" t="inlineStr">
        <is>
          <t>F-11</t>
        </is>
      </c>
      <c r="B24" s="7" t="inlineStr">
        <is>
          <t>Frameworks</t>
        </is>
      </c>
      <c r="C24" s="7" t="inlineStr">
        <is>
          <t>A person can read their own import history</t>
        </is>
      </c>
      <c r="D24" s="7" t="inlineStr">
        <is>
          <t>MyImportRuns and MyImportRows, narrowed to what that person uploaded</t>
        </is>
      </c>
      <c r="E24" s="8" t="inlineStr">
        <is>
          <t>Done</t>
        </is>
      </c>
      <c r="F24" s="7" t="inlineStr">
        <is>
          <t>The importing user reads back three runs including 'line 1: Project code DHV-P3 already exists'</t>
        </is>
      </c>
      <c r="G24" s="7" t="inlineStr">
        <is>
          <t>—</t>
        </is>
      </c>
    </row>
    <row r="25">
      <c r="A25" s="7" t="inlineStr">
        <is>
          <t>A-04</t>
        </is>
      </c>
      <c r="B25" s="7" t="inlineStr">
        <is>
          <t>Authorization</t>
        </is>
      </c>
      <c r="C25" s="7" t="inlineStr">
        <is>
          <t>Write-path input-data check</t>
        </is>
      </c>
      <c r="D25" s="7" t="inlineStr">
        <is>
          <t>Reject CREATE/UPDATE carrying a project outside the user's scope</t>
        </is>
      </c>
      <c r="E25" s="7" t="inlineStr">
        <is>
          <t>Not started</t>
        </is>
      </c>
      <c r="F25" s="7" t="inlineStr">
        <is>
          <t>—</t>
        </is>
      </c>
      <c r="G25" s="7" t="inlineStr">
        <is>
          <t>Validate after Project Setup exists</t>
        </is>
      </c>
    </row>
    <row r="26">
      <c r="A26" s="7" t="inlineStr">
        <is>
          <t>A-05</t>
        </is>
      </c>
      <c r="B26" s="7" t="inlineStr">
        <is>
          <t>Authorization</t>
        </is>
      </c>
      <c r="C26" s="7" t="inlineStr">
        <is>
          <t>Administration UI</t>
        </is>
      </c>
      <c r="D26" s="7" t="inlineStr">
        <is>
          <t>S/4-like screens to maintain personas, grants, assignments</t>
        </is>
      </c>
      <c r="E26" s="7" t="inlineStr">
        <is>
          <t>Not started</t>
        </is>
      </c>
      <c r="F26" s="7" t="inlineStr">
        <is>
          <t>—</t>
        </is>
      </c>
      <c r="G26" s="7" t="inlineStr">
        <is>
          <t>Part of Masters/Admin UI block</t>
        </is>
      </c>
    </row>
    <row r="27">
      <c r="A27" s="7" t="inlineStr">
        <is>
          <t>F-01</t>
        </is>
      </c>
      <c r="B27" s="7" t="inlineStr">
        <is>
          <t>Frameworks</t>
        </is>
      </c>
      <c r="C27" s="7" t="inlineStr">
        <is>
          <t>Approval framework model</t>
        </is>
      </c>
      <c r="D27" s="7" t="inlineStr">
        <is>
          <t>Schemes per object type, ordered steps, approver persona, value bands, runtime instances</t>
        </is>
      </c>
      <c r="E27" s="8" t="inlineStr">
        <is>
          <t>Done</t>
        </is>
      </c>
      <c r="F27" s="7" t="inlineStr">
        <is>
          <t>Compiles; exposed on /collaboration</t>
        </is>
      </c>
      <c r="G27" s="7" t="inlineStr">
        <is>
          <t>—</t>
        </is>
      </c>
    </row>
    <row r="28">
      <c r="A28" s="7" t="inlineStr">
        <is>
          <t>F-02</t>
        </is>
      </c>
      <c r="B28" s="7" t="inlineStr">
        <is>
          <t>Frameworks</t>
        </is>
      </c>
      <c r="C28" s="7" t="inlineStr">
        <is>
          <t>Approval engine</t>
        </is>
      </c>
      <c r="D28" s="7" t="inlineStr">
        <is>
          <t>Instantiate on submit, match value bands, advance steps, enforce approver persona and separation of duties, delegate, withdraw, audit</t>
        </is>
      </c>
      <c r="E28" s="8" t="inlineStr">
        <is>
          <t>Done</t>
        </is>
      </c>
      <c r="F28" s="7" t="inlineStr">
        <is>
          <t>28 checks against the running service: bands select 1/2/3 steps at 50k/300k/2m; out-of-order, double, reasonless and same-person decisions all refused; persona configured through the admin API then enforced</t>
        </is>
      </c>
      <c r="G28" s="7" t="inlineStr">
        <is>
          <t>Inbox screen (F-04) and per-object wiring (F-05)</t>
        </is>
      </c>
    </row>
    <row r="29">
      <c r="A29" s="7" t="inlineStr">
        <is>
          <t>F-04</t>
        </is>
      </c>
      <c r="B29" s="7" t="inlineStr">
        <is>
          <t>Frameworks</t>
        </is>
      </c>
      <c r="C29" s="7" t="inlineStr">
        <is>
          <t>Approval inbox screen</t>
        </is>
      </c>
      <c r="D29" s="7" t="inlineStr">
        <is>
          <t>The steps awaiting the signed-in user, with approve, reject and delegate</t>
        </is>
      </c>
      <c r="E29" s="7" t="inlineStr">
        <is>
          <t>Not started</t>
        </is>
      </c>
      <c r="F29" s="7" t="inlineStr">
        <is>
          <t>—</t>
        </is>
      </c>
      <c r="G29" s="7" t="inlineStr">
        <is>
          <t>With the UI rebuild</t>
        </is>
      </c>
    </row>
    <row r="30">
      <c r="A30" s="7" t="inlineStr">
        <is>
          <t>F-05</t>
        </is>
      </c>
      <c r="B30" s="7" t="inlineStr">
        <is>
          <t>Frameworks</t>
        </is>
      </c>
      <c r="C30" s="7" t="inlineStr">
        <is>
          <t>Wire submit into each object's lifecycle</t>
        </is>
      </c>
      <c r="D30" s="7" t="inlineStr">
        <is>
          <t>Today the caller chooses when to submit. Each document type should move to 'In Approval' on submit and act on the outcome</t>
        </is>
      </c>
      <c r="E30" s="7" t="inlineStr">
        <is>
          <t>Not started</t>
        </is>
      </c>
      <c r="F30" s="7" t="inlineStr">
        <is>
          <t>—</t>
        </is>
      </c>
      <c r="G30" s="7" t="inlineStr">
        <is>
          <t>Per module as each is built</t>
        </is>
      </c>
    </row>
    <row r="31">
      <c r="A31" s="7" t="inlineStr">
        <is>
          <t>F-06</t>
        </is>
      </c>
      <c r="B31" s="7" t="inlineStr">
        <is>
          <t>Frameworks</t>
        </is>
      </c>
      <c r="C31" s="7" t="inlineStr">
        <is>
          <t>Content pack references</t>
        </is>
      </c>
      <c r="D31" s="7" t="inlineStr">
        <is>
          <t>Packs can name another row instead of its UUID, and match on composite natural keys; each pack applies atomically</t>
        </is>
      </c>
      <c r="E31" s="8" t="inlineStr">
        <is>
          <t>Done</t>
        </is>
      </c>
      <c r="F31" s="7" t="inlineStr">
        <is>
          <t>APPROVAL_SCHEMES resolves auth objects and its own schemes at deploy time: 6 rows inserted</t>
        </is>
      </c>
      <c r="G31" s="7" t="inlineStr">
        <is>
          <t>—</t>
        </is>
      </c>
    </row>
    <row r="32">
      <c r="A32" s="7" t="inlineStr">
        <is>
          <t>F-07</t>
        </is>
      </c>
      <c r="B32" s="7" t="inlineStr">
        <is>
          <t>Frameworks</t>
        </is>
      </c>
      <c r="C32" s="7" t="inlineStr">
        <is>
          <t>Attachments on every object</t>
        </is>
      </c>
      <c r="D32" s="7" t="inlineStr">
        <is>
          <t>One polymorphic attachment table for all modules; automatic versioning with a supersedes chain; client-configurable categories; a mandatory category blocks approval submission</t>
        </is>
      </c>
      <c r="E32" s="8" t="inlineStr">
        <is>
          <t>Done</t>
        </is>
      </c>
      <c r="F32" s="7" t="inlineStr">
        <is>
          <t>14 checks: v1 then v2 superseding it, PDF streamed in and read back byte-identical, 404 for a missing target, and submission refused until the mandatory drawing was attached</t>
        </is>
      </c>
      <c r="G32" s="7" t="inlineStr">
        <is>
          <t>fileSize (F-08) and the UI upload control</t>
        </is>
      </c>
    </row>
    <row r="33">
      <c r="A33" s="7" t="inlineStr">
        <is>
          <t>F-08</t>
        </is>
      </c>
      <c r="B33" s="7" t="inlineStr">
        <is>
          <t>Frameworks</t>
        </is>
      </c>
      <c r="C33" s="7" t="inlineStr">
        <is>
          <t>Attachment file size</t>
        </is>
      </c>
      <c r="D33" s="7" t="inlineStr">
        <is>
          <t>fileSize is null — measuring the media stream consumes it, so it needs a counting wrapper on the upload path</t>
        </is>
      </c>
      <c r="E33" s="7" t="inlineStr">
        <is>
          <t>Not started</t>
        </is>
      </c>
      <c r="F33" s="7" t="inlineStr">
        <is>
          <t>—</t>
        </is>
      </c>
      <c r="G33" s="7" t="inlineStr">
        <is>
          <t>Low priority; display only</t>
        </is>
      </c>
    </row>
    <row r="34">
      <c r="A34" s="7" t="inlineStr">
        <is>
          <t>M-10</t>
        </is>
      </c>
      <c r="B34" s="7" t="inlineStr">
        <is>
          <t>Masters</t>
        </is>
      </c>
      <c r="C34" s="7" t="inlineStr">
        <is>
          <t>Rate master complete</t>
        </is>
      </c>
      <c r="D34" s="7" t="inlineStr">
        <is>
          <t>Draft-maintainable rates and norms; rateOn(resource, date, company) resolves which rate is in force — latest start on or before the date, company beating group; norms validated (no zero output, no 140% wastage, effective-date clashes on the full recipe key)</t>
        </is>
      </c>
      <c r="E34" s="8" t="inlineStr">
        <is>
          <t>Done</t>
        </is>
      </c>
      <c r="F34" s="7" t="inlineStr">
        <is>
          <t>17 checks</t>
        </is>
      </c>
      <c r="G34" s="7" t="inlineStr">
        <is>
          <t>—</t>
        </is>
      </c>
    </row>
    <row r="35">
      <c r="A35" s="7" t="inlineStr">
        <is>
          <t>PS-04</t>
        </is>
      </c>
      <c r="B35" s="7" t="inlineStr">
        <is>
          <t>Project Setup</t>
        </is>
      </c>
      <c r="C35" s="7" t="inlineStr">
        <is>
          <t>BOQ import and arithmetic</t>
        </is>
      </c>
      <c r="D35" s="7" t="inlineStr">
        <is>
          <t>amount always qty x rate, never accepted from the caller; header equals sum of lines; all-or-nothing import that also catches duplicates within the file; re-import replaces</t>
        </is>
      </c>
      <c r="E35" s="8" t="inlineStr">
        <is>
          <t>Done</t>
        </is>
      </c>
      <c r="F35" s="7" t="inlineStr">
        <is>
          <t>20 checks incl. a bad bill refused whole</t>
        </is>
      </c>
      <c r="G35" s="7" t="inlineStr">
        <is>
          <t>—</t>
        </is>
      </c>
    </row>
    <row r="36">
      <c r="A36" s="7" t="inlineStr">
        <is>
          <t>PS-05</t>
        </is>
      </c>
      <c r="B36" s="7" t="inlineStr">
        <is>
          <t>Project Setup</t>
        </is>
      </c>
      <c r="C36" s="7" t="inlineStr">
        <is>
          <t>Project CBS and allocation</t>
        </is>
      </c>
      <c r="D36" s="7" t="inlineStr">
        <is>
          <t>instantiateCBS copies the library (refuses a second run); allocate joins bill to WBS+CBS with an over-allocation guard and cross-project refusal; CBS nodes carry allocated value at bill rate</t>
        </is>
      </c>
      <c r="E36" s="8" t="inlineStr">
        <is>
          <t>Done</t>
        </is>
      </c>
      <c r="F36" s="7" t="inlineStr">
        <is>
          <t>700+500 of a 1200 line to exactly 100%; the repeated 700 refused</t>
        </is>
      </c>
      <c r="G36" s="7" t="inlineStr">
        <is>
          <t>—</t>
        </is>
      </c>
    </row>
    <row r="37">
      <c r="A37" s="7" t="inlineStr">
        <is>
          <t>PL-01</t>
        </is>
      </c>
      <c r="B37" s="7" t="inlineStr">
        <is>
          <t>Planning</t>
        </is>
      </c>
      <c r="C37" s="7" t="inlineStr">
        <is>
          <t>Resource build-up from CBS recipes</t>
        </is>
      </c>
      <c r="D37" s="7" t="inlineStr">
        <is>
          <t>Norms carry the wireframe key (Resource x Linked CBS x Activity x Company); a BOQ line resolves through its CBS leaf; difficulty on top of productivity only, never the master norm (KX-BUD-014); MANUAL rows survive regeneration and are counted as defects; coverage report: recipe-found / manual / no-recipe / unmapped / rate-missing</t>
        </is>
      </c>
      <c r="E37" s="8" t="inlineStr">
        <is>
          <t>Done</t>
        </is>
      </c>
      <c r="F37" s="7" t="inlineStr">
        <is>
          <t>16 checks: 1230 m3 (2.5% wastage), 110 hr (std 12/hr x 110%), INFC override wins</t>
        </is>
      </c>
      <c r="G37" s="7" t="inlineStr">
        <is>
          <t>Activity Code Library difficulty resolution deferred — difficulty is a call parameter today</t>
        </is>
      </c>
    </row>
    <row r="38">
      <c r="A38" s="7" t="inlineStr">
        <is>
          <t>EX-01</t>
        </is>
      </c>
      <c r="B38" s="7" t="inlineStr">
        <is>
          <t>Execution</t>
        </is>
      </c>
      <c r="C38" s="7" t="inlineStr">
        <is>
          <t>RR to RES chain engine</t>
        </is>
      </c>
      <c r="D38" s="7" t="inlineStr">
        <is>
          <t>submit prices lines from the rate master and refuses unpriced resources; approval outcome moves the document (F-05, generic); advisory line-by-line with rationale; AVC documents KONSTRYX-side commitments honestly, S/4 ATP slots in later; reservation encumbers the approved value; StatusHistory + DocumentLinks throughout</t>
        </is>
      </c>
      <c r="E38" s="8" t="inlineStr">
        <is>
          <t>Done</t>
        </is>
      </c>
      <c r="F38" s="7" t="inlineStr">
        <is>
          <t>28 checks; every shortcut refused with the missing step named</t>
        </is>
      </c>
      <c r="G38" s="7" t="inlineStr">
        <is>
          <t>S/4 ATP behind the same document (Q-09)</t>
        </is>
      </c>
    </row>
    <row r="39">
      <c r="A39" s="7" t="inlineStr">
        <is>
          <t>B-06x</t>
        </is>
      </c>
      <c r="B39" s="7" t="inlineStr">
        <is>
          <t>Commercial</t>
        </is>
      </c>
      <c r="C39" s="7" t="inlineStr">
        <is>
          <t>Budget engine</t>
        </is>
      </c>
      <c r="D39" s="7" t="inlineStr">
        <is>
          <t>Generated from the priced build-up by CBS x cost nature (six); refuses unpriced resources whole; approval via BUD-STD; baseline makes the ledger the only door (PATCH on a baselined amount answers 403); zero-sum paired SHIFT with mandatory reason; refreshControl pulls open reservation encumbrance into the control record; riskTransfer (zero-sum, keyed to a risk reference) and variation (not zero-sum — the one category that moves the budget's own total, keyed to a variation order reference) complete all four KX-BUD-004 categories</t>
        </is>
      </c>
      <c r="E39" s="8" t="inlineStr">
        <is>
          <t>Done</t>
        </is>
      </c>
      <c r="F39" s="7" t="inlineStr">
        <is>
          <t>36 checks; line amount == sum of its ledger entries asserted per line across all four categories; a variation's delta is asserted against the budget's own totalAmount</t>
        </is>
      </c>
      <c r="G39" s="7" t="inlineStr">
        <is>
          <t>No standalone Variation Order / Risk register document objects yet — riskTransfer/variation are actions on the budget, referenced by a free-text ID; a formal document with its own approval and number range is a later increment if the business wants one</t>
        </is>
      </c>
    </row>
    <row r="40">
      <c r="A40" s="7" t="inlineStr">
        <is>
          <t>F-10</t>
        </is>
      </c>
      <c r="B40" s="7" t="inlineStr">
        <is>
          <t>Frameworks</t>
        </is>
      </c>
      <c r="C40" s="7" t="inlineStr">
        <is>
          <t>Per-user table personalization</t>
        </is>
      </c>
      <c r="D40" s="7" t="inlineStr">
        <is>
          <t>Saved column sets, filters, sorts and groupings per user per table; one default each; administrator-published variants readable by all</t>
        </is>
      </c>
      <c r="E40" s="8" t="inlineStr">
        <is>
          <t>Done</t>
        </is>
      </c>
      <c r="F40" s="7" t="inlineStr">
        <is>
          <t>18 checks: two users hold the same variant name on the same table and see only their own; a new default clears the previous one and leaves other users alone; writing to someone else's answers 404, not 403, so the key is not confirmed</t>
        </is>
      </c>
      <c r="G40" s="7" t="inlineStr">
        <is>
          <t>UI wiring comes with the screen rebuild</t>
        </is>
      </c>
    </row>
    <row r="41">
      <c r="A41" s="7" t="inlineStr">
        <is>
          <t>F-09</t>
        </is>
      </c>
      <c r="B41" s="7" t="inlineStr">
        <is>
          <t>Frameworks</t>
        </is>
      </c>
      <c r="C41" s="7" t="inlineStr">
        <is>
          <t>Attachment storage</t>
        </is>
      </c>
      <c r="D41" s="7" t="inlineStr">
        <is>
          <t>Content sits in the database as LargeBinary. Fine for drawings and permits; a project's photo library is a different question</t>
        </is>
      </c>
      <c r="E41" s="7" t="inlineStr">
        <is>
          <t>Not started</t>
        </is>
      </c>
      <c r="F41" s="7" t="inlineStr">
        <is>
          <t>—</t>
        </is>
      </c>
      <c r="G41" s="7" t="inlineStr">
        <is>
          <t>Decide before go-live — see S-24</t>
        </is>
      </c>
    </row>
    <row r="42">
      <c r="A42" s="7" t="inlineStr">
        <is>
          <t>F-03</t>
        </is>
      </c>
      <c r="B42" s="7" t="inlineStr">
        <is>
          <t>Frameworks</t>
        </is>
      </c>
      <c r="C42" s="7" t="inlineStr">
        <is>
          <t>Attachments model</t>
        </is>
      </c>
      <c r="D42" s="7" t="inlineStr">
        <is>
          <t>Polymorphic on entityName+objectID, media-type content, categories</t>
        </is>
      </c>
      <c r="E42" s="8" t="inlineStr">
        <is>
          <t>Done</t>
        </is>
      </c>
      <c r="F42" s="7" t="inlineStr">
        <is>
          <t>Compiles; exposed on /collaboration</t>
        </is>
      </c>
      <c r="G42" s="7" t="inlineStr">
        <is>
          <t>Upload handler + object store not built</t>
        </is>
      </c>
    </row>
    <row r="43">
      <c r="A43" s="7" t="inlineStr">
        <is>
          <t>F-04</t>
        </is>
      </c>
      <c r="B43" s="7" t="inlineStr">
        <is>
          <t>Frameworks</t>
        </is>
      </c>
      <c r="C43" s="7" t="inlineStr">
        <is>
          <t>Attachment upload + storage</t>
        </is>
      </c>
      <c r="D43" s="7" t="inlineStr">
        <is>
          <t>Object store binding for Cloud Foundry vs HANA LOB</t>
        </is>
      </c>
      <c r="E43" s="7" t="inlineStr">
        <is>
          <t>Not started</t>
        </is>
      </c>
      <c r="F43" s="7" t="inlineStr">
        <is>
          <t>—</t>
        </is>
      </c>
      <c r="G43" s="7" t="inlineStr">
        <is>
          <t>Decision needed (see Open Decisions)</t>
        </is>
      </c>
    </row>
    <row r="44">
      <c r="A44" s="7" t="inlineStr">
        <is>
          <t>F-05</t>
        </is>
      </c>
      <c r="B44" s="7" t="inlineStr">
        <is>
          <t>Frameworks</t>
        </is>
      </c>
      <c r="C44" s="7" t="inlineStr">
        <is>
          <t>Table personalization store</t>
        </is>
      </c>
      <c r="D44" s="7" t="inlineStr">
        <is>
          <t>UserVariant entity holding UI5 p13n state per user</t>
        </is>
      </c>
      <c r="E44" s="8" t="inlineStr">
        <is>
          <t>Done</t>
        </is>
      </c>
      <c r="F44" s="7" t="inlineStr">
        <is>
          <t>Compiles; exposed on /collaboration</t>
        </is>
      </c>
      <c r="G44" s="7" t="inlineStr">
        <is>
          <t>Not wired to any table yet</t>
        </is>
      </c>
    </row>
    <row r="45">
      <c r="A45" s="7" t="inlineStr">
        <is>
          <t>F-06</t>
        </is>
      </c>
      <c r="B45" s="7" t="inlineStr">
        <is>
          <t>Frameworks</t>
        </is>
      </c>
      <c r="C45" s="7" t="inlineStr">
        <is>
          <t>Table personalization UI wiring</t>
        </is>
      </c>
      <c r="D45" s="7" t="inlineStr">
        <is>
          <t>p13n + VariantManagement on every list screen</t>
        </is>
      </c>
      <c r="E45" s="7" t="inlineStr">
        <is>
          <t>Not started</t>
        </is>
      </c>
      <c r="F45" s="7" t="inlineStr">
        <is>
          <t>—</t>
        </is>
      </c>
      <c r="G45" s="7" t="inlineStr">
        <is>
          <t>Apply as each screen is built</t>
        </is>
      </c>
    </row>
    <row r="46">
      <c r="A46" s="7" t="inlineStr">
        <is>
          <t>M-01</t>
        </is>
      </c>
      <c r="B46" s="7" t="inlineStr">
        <is>
          <t>Data model</t>
        </is>
      </c>
      <c r="C46" s="7" t="inlineStr">
        <is>
          <t>Workflow spine RR-&gt;ADV-&gt;AVC-&gt;RES</t>
        </is>
      </c>
      <c r="D46" s="7" t="inlineStr">
        <is>
          <t>Vertical-agnostic, multi-line, seeded with canonical EQR thread</t>
        </is>
      </c>
      <c r="E46" s="8" t="inlineStr">
        <is>
          <t>Done</t>
        </is>
      </c>
      <c r="F46" s="7" t="inlineStr">
        <is>
          <t>Queryable over OData; 5 lines, AED 685,080</t>
        </is>
      </c>
      <c r="G46" s="7" t="inlineStr">
        <is>
          <t>—</t>
        </is>
      </c>
    </row>
    <row r="47">
      <c r="A47" s="7" t="inlineStr">
        <is>
          <t>M-02</t>
        </is>
      </c>
      <c r="B47" s="7" t="inlineStr">
        <is>
          <t>Data model</t>
        </is>
      </c>
      <c r="C47" s="7" t="inlineStr">
        <is>
          <t>WBS on request line</t>
        </is>
      </c>
      <c r="D47" s="7" t="inlineStr">
        <is>
          <t>Spec section 6 requires one WBS per line; was missing</t>
        </is>
      </c>
      <c r="E47" s="8" t="inlineStr">
        <is>
          <t>Done</t>
        </is>
      </c>
      <c r="F47" s="7" t="inlineStr">
        <is>
          <t>3 distinct WBS across the 5 EQR lines</t>
        </is>
      </c>
      <c r="G47" s="7" t="inlineStr">
        <is>
          <t>—</t>
        </is>
      </c>
    </row>
    <row r="48">
      <c r="A48" s="7" t="inlineStr">
        <is>
          <t>M-03</t>
        </is>
      </c>
      <c r="B48" s="7" t="inlineStr">
        <is>
          <t>Data model</t>
        </is>
      </c>
      <c r="C48" s="7" t="inlineStr">
        <is>
          <t>EQR vertical extension</t>
        </is>
      </c>
      <c r="D48" s="7" t="inlineStr">
        <is>
          <t>Instances, mob/demob window, own-vs-rental, vendor, operators</t>
        </is>
      </c>
      <c r="E48" s="8" t="inlineStr">
        <is>
          <t>Done</t>
        </is>
      </c>
      <c r="F48" s="7" t="inlineStr">
        <is>
          <t>$expand=equipment,wbs returns all 5 lines resolved</t>
        </is>
      </c>
      <c r="G48" s="7" t="inlineStr">
        <is>
          <t>—</t>
        </is>
      </c>
    </row>
    <row r="49">
      <c r="A49" s="7" t="inlineStr">
        <is>
          <t>M-04</t>
        </is>
      </c>
      <c r="B49" s="7" t="inlineStr">
        <is>
          <t>Data model</t>
        </is>
      </c>
      <c r="C49" s="7" t="inlineStr">
        <is>
          <t>Chain steps CMT/MOB/OPL/VAR/DMB/CLS</t>
        </is>
      </c>
      <c r="D49" s="7" t="inlineStr">
        <is>
          <t>Steps 5-10 have no CDS entities at all</t>
        </is>
      </c>
      <c r="E49" s="7" t="inlineStr">
        <is>
          <t>Not started</t>
        </is>
      </c>
      <c r="F49" s="7" t="inlineStr">
        <is>
          <t>—</t>
        </is>
      </c>
      <c r="G49" s="7" t="inlineStr">
        <is>
          <t>Part of Project Execution block</t>
        </is>
      </c>
    </row>
    <row r="50">
      <c r="A50" s="7" t="inlineStr">
        <is>
          <t>U-01</t>
        </is>
      </c>
      <c r="B50" s="7" t="inlineStr">
        <is>
          <t>UI</t>
        </is>
      </c>
      <c r="C50" s="7" t="inlineStr">
        <is>
          <t>RR worklist on live OData</t>
        </is>
      </c>
      <c r="D50" s="7" t="inlineStr">
        <is>
          <t>RequestOverview projection, server-side filters</t>
        </is>
      </c>
      <c r="E50" s="8" t="inlineStr">
        <is>
          <t>Done</t>
        </is>
      </c>
      <c r="F50" s="7" t="inlineStr">
        <is>
          <t>Verified in browser: 4 requests, EQR shows 5 lines / 685,080; EQR filter issues new $batch</t>
        </is>
      </c>
      <c r="G50" s="7" t="inlineStr">
        <is>
          <t>—</t>
        </is>
      </c>
    </row>
    <row r="51">
      <c r="A51" s="7" t="inlineStr">
        <is>
          <t>U-02</t>
        </is>
      </c>
      <c r="B51" s="7" t="inlineStr">
        <is>
          <t>UI</t>
        </is>
      </c>
      <c r="C51" s="7" t="inlineStr">
        <is>
          <t>Request detail page on OData</t>
        </is>
      </c>
      <c r="D51" s="7" t="inlineStr">
        <is>
          <t>Still reads webapp/model/data.json</t>
        </is>
      </c>
      <c r="E51" s="7" t="inlineStr">
        <is>
          <t>Not started</t>
        </is>
      </c>
      <c r="F51" s="7" t="inlineStr">
        <is>
          <t>—</t>
        </is>
      </c>
      <c r="G51" s="7" t="inlineStr">
        <is>
          <t>Now unblocked by M-03</t>
        </is>
      </c>
    </row>
    <row r="52">
      <c r="A52" s="7" t="inlineStr">
        <is>
          <t>U-03</t>
        </is>
      </c>
      <c r="B52" s="7" t="inlineStr">
        <is>
          <t>UI</t>
        </is>
      </c>
      <c r="C52" s="7" t="inlineStr">
        <is>
          <t>Chain step pages on OData</t>
        </is>
      </c>
      <c r="D52" s="7" t="inlineStr">
        <is>
          <t>Still read data.json</t>
        </is>
      </c>
      <c r="E52" s="9" t="inlineStr">
        <is>
          <t>Blocked</t>
        </is>
      </c>
      <c r="F52" s="7" t="inlineStr">
        <is>
          <t>—</t>
        </is>
      </c>
      <c r="G52" s="7" t="inlineStr">
        <is>
          <t>Blocked by M-04</t>
        </is>
      </c>
    </row>
    <row r="53">
      <c r="A53" s="7" t="inlineStr">
        <is>
          <t>U-04</t>
        </is>
      </c>
      <c r="B53" s="7" t="inlineStr">
        <is>
          <t>UI</t>
        </is>
      </c>
      <c r="C53" s="7" t="inlineStr">
        <is>
          <t>Launchpad intents declared</t>
        </is>
      </c>
      <c r="D53" s="7" t="inlineStr">
        <is>
          <t>crossNavigation inbounds for KonstryxResourceRequest and KonstryxReservation</t>
        </is>
      </c>
      <c r="E53" s="8" t="inlineStr">
        <is>
          <t>Done</t>
        </is>
      </c>
      <c r="F53" s="7" t="inlineStr">
        <is>
          <t>manifest parses; two inbounds registered</t>
        </is>
      </c>
      <c r="G53" s="7" t="inlineStr">
        <is>
          <t>—</t>
        </is>
      </c>
    </row>
    <row r="54">
      <c r="A54" s="7" t="inlineStr">
        <is>
          <t>U-05</t>
        </is>
      </c>
      <c r="B54" s="7" t="inlineStr">
        <is>
          <t>UI</t>
        </is>
      </c>
      <c r="C54" s="7" t="inlineStr">
        <is>
          <t>Launchpad-hosted shell (blend with S/4)</t>
        </is>
      </c>
      <c r="D54" s="7" t="inlineStr">
        <is>
          <t>App shell removed: root view is now the NavContainer alone. Launchpad supplies header, search, user menu, theme</t>
        </is>
      </c>
      <c r="E54" s="8" t="inlineStr">
        <is>
          <t>Done</t>
        </is>
      </c>
      <c r="F54" s="7" t="inlineStr">
        <is>
          <t>Verified in browser as daud: worklist renders with no app chrome, 4 of 5 requests correctly scoped, EQR at AED 685,080</t>
        </is>
      </c>
      <c r="G54" s="7" t="inlineStr">
        <is>
          <t>—</t>
        </is>
      </c>
    </row>
    <row r="55">
      <c r="A55" s="7" t="inlineStr">
        <is>
          <t>U-06</t>
        </is>
      </c>
      <c r="B55" s="7" t="inlineStr">
        <is>
          <t>UI</t>
        </is>
      </c>
      <c r="C55" s="7" t="inlineStr">
        <is>
          <t>Spaces and Pages navigation</t>
        </is>
      </c>
      <c r="D55" s="7" t="inlineStr">
        <is>
          <t>flp.html + flpSite.json written: CDM 3.1 site, one space, one page, two intent tiles</t>
        </is>
      </c>
      <c r="E55" s="9" t="inlineStr">
        <is>
          <t>At risk</t>
        </is>
      </c>
      <c r="F55" s="7" t="inlineStr">
        <is>
          <t>Site JSON authored against the runtime's own sandboxSite.json schema</t>
        </is>
      </c>
      <c r="G55" s="7" t="inlineStr">
        <is>
          <t>Sandbox bootstrap fails reading a null script element; finish or verify on real BTP instead</t>
        </is>
      </c>
    </row>
    <row r="56">
      <c r="A56" s="7" t="inlineStr">
        <is>
          <t>U-08</t>
        </is>
      </c>
      <c r="B56" s="7" t="inlineStr">
        <is>
          <t>UI</t>
        </is>
      </c>
      <c r="C56" s="7" t="inlineStr">
        <is>
          <t>Split into task-focused apps per document type</t>
        </is>
      </c>
      <c r="D56" s="7" t="inlineStr">
        <is>
          <t>S/4 pattern is one app per task, reached from a tile. Currently one app with in-app routing across ten document types</t>
        </is>
      </c>
      <c r="E56" s="7" t="inlineStr">
        <is>
          <t>Not started</t>
        </is>
      </c>
      <c r="F56" s="7" t="inlineStr">
        <is>
          <t>—</t>
        </is>
      </c>
      <c r="G56" s="7" t="inlineStr">
        <is>
          <t>Register more intents as screens are built</t>
        </is>
      </c>
    </row>
    <row r="57">
      <c r="A57" s="7" t="inlineStr">
        <is>
          <t>U-09</t>
        </is>
      </c>
      <c r="B57" s="7" t="inlineStr">
        <is>
          <t>UI</t>
        </is>
      </c>
      <c r="C57" s="7" t="inlineStr">
        <is>
          <t>Reservation overview — chain progress + honest S/4 status</t>
        </is>
      </c>
      <c r="D57" s="7" t="inlineStr">
        <is>
          <t>You flagged the old screen as poorly designed with no visible chain progress or S/4 truth. Rebuilt: reservationOverview action computes steps-done/steps-pending across the full ten-step chain from live documents (RR, advisory, AVC, RES, closure); the header states per integration path what is actually connected — project sync LIVE, CMT/procurement/BP mirror not wired — and every row carries its own project's sync state</t>
        </is>
      </c>
      <c r="E57" s="8" t="inlineStr">
        <is>
          <t>Done</t>
        </is>
      </c>
      <c r="F57" s="7" t="inlineStr">
        <is>
          <t>Verified in browser: RES-2026-0188 reads 4 of 10 steps, pending CMT/MOB/OPL/VAR/DMB/CLS listed explicitly; full regression 13 suites / 261 checks green</t>
        </is>
      </c>
      <c r="G57" s="7" t="inlineStr">
        <is>
          <t>CMT connector, once S/4 PS commitment posting is in scope</t>
        </is>
      </c>
    </row>
    <row r="58">
      <c r="A58" s="7" t="inlineStr">
        <is>
          <t>U-10</t>
        </is>
      </c>
      <c r="B58" s="7" t="inlineStr">
        <is>
          <t>UI</t>
        </is>
      </c>
      <c r="C58" s="7" t="inlineStr">
        <is>
          <t>Variant management, adapt filters, table settings and Excel export on the remaining list screens</t>
        </is>
      </c>
      <c r="D58" s="7" t="inlineStr">
        <is>
          <t>Rolled out ListPersonalization (already proven on the RR worklist) to Rate Master, Productivity/Consumption Norms (two independent targets, one screen), Project Templates, and the Promotion Queue. Deliberately NOT applied to Resource Hierarchy or CBS Library — those are TreeTables showing an L1-L5 hierarchy, and generic Sorter/Group panels fight the tree rather than help it; their existing tree-specific search stays. Cost Mapping's exception queue got Export only, no variant management or filter dialog — it is already pre-filtered to "only what needs a decision", so there is nothing left to filter</t>
        </is>
      </c>
      <c r="E58" s="8" t="inlineStr">
        <is>
          <t>Done</t>
        </is>
      </c>
      <c r="F58" s="7" t="inlineStr">
        <is>
          <t>Verified in browser (fresh tab per screen, zero console errors): each table's p13n dialog opens with fields matching its columns exactly, OData row counts intact (Rates 14, Productivity norms 8, Consumption norms 7). Two real bugs found and fixed while wiring this: (1) VariantManagement's showSetAsDefault is not a real property (correct one is supportDefault) — was already wrong on the RR worklist from an earlier session and copied forward before being caught; (2) MasterNorms' two tables collided on duplicate column ids (basis, scope) — XML view ids must be unique across the whole view, not just per control aggregation</t>
        </is>
      </c>
      <c r="G58" s="7" t="inlineStr">
        <is>
          <t>Roll the same treatment to RequestDetail/ChainStep/ResourceDetail if/when those grow list sections; today they are single-object detail pages with nothing to personalize</t>
        </is>
      </c>
    </row>
    <row r="59">
      <c r="A59" s="7" t="inlineStr">
        <is>
          <t>U-11</t>
        </is>
      </c>
      <c r="B59" s="7" t="inlineStr">
        <is>
          <t>UI</t>
        </is>
      </c>
      <c r="C59" s="7" t="inlineStr">
        <is>
          <t>Distribute-to-WBS dialog on the Cost Mapping workbench</t>
        </is>
      </c>
      <c r="D59" s="7" t="inlineStr">
        <is>
          <t>UNALLOCATED exception rows had no action — a coordinator could see "0 of 1840 distributed" but had nowhere to act on it. Added a Distribute button opening a dialog over the existing distributeToWBS action: choose TPL-SINGLE (whole line, one element) or TPL-FLOORS/TPL-ZONES (weighted split across several), pick the target WBS element(s), submit. costMappingSummary's exception payload gained boqId (it only carried boqItemId before) so the dialog can address the right BOQ without an extra round trip</t>
        </is>
      </c>
      <c r="E59" s="8" t="inlineStr">
        <is>
          <t>Done</t>
        </is>
      </c>
      <c r="F59" s="7" t="inlineStr">
        <is>
          <t>Verified live end to end for all three templates. TPL-SINGLE: item 1.E.1.1.01 (0 of 1840) onto WBS-0.10. TPL-ZONES: item 1.E.2.2.01 (0 of 682) split 30/70 across WBS-0.10/WBS-1.02, landing at exactly 204.6/477.4 (682.0 to the tenth) with template and splitBasis recorded on the allocation rows. Full regression unaffected throughout: 13 suites / 271 checks green each time</t>
        </is>
      </c>
      <c r="G59" s="7" t="inlineStr">
        <is>
          <t>Two real bugs found and fixed while building this. (1) `class` is not a valid constructor setting in JS-built controls (only in XML) — silently no-ops with a console warning; fixed here and on MasterTemplates' pre-existing instantiate dialog, both now use addStyleClass(). (2) A genuine SAPUI5-vs-CAP encoding mismatch: the v4 ODataModel serialises a Decimal nested inside an array-of-complex-type action parameter (targets: array of WBSTarget) as a JSON string, and CAP's OData V4 deserialiser refuses a quoted decimal on that property ("Invalid value for property 'weight'") — confirmed by direct curl: the identical payload succeeds the moment weight is a bare JSON number, fails identically whether sent as a JS number or a JS string through the typed model API. Worked around by posting distributeToWBS as a raw authenticated fetch instead of the model's typed action-parameter path; template/itemNos still round-trip fine through the model elsewhere since they are not complex-type array members</t>
        </is>
      </c>
    </row>
    <row r="60">
      <c r="A60" s="7" t="inlineStr">
        <is>
          <t>U-12</t>
        </is>
      </c>
      <c r="B60" s="7" t="inlineStr">
        <is>
          <t>UI</t>
        </is>
      </c>
      <c r="C60" s="7" t="inlineStr">
        <is>
          <t>Resource hyperlinks on Rate Master and Norms</t>
        </is>
      </c>
      <c r="D60" s="7" t="inlineStr">
        <is>
          <t>The resource/material column on Rate Master and both Norms tables (Productivity, Consumption) was plain text — no way to jump to the resource's master record from a rate or a norm. Wired the existing ObjectLinks "resource" registry (Resource Master / Rate Master / Norms) onto all three columns; no registry changes needed since material is modelled as ResourceNode (same entity resource points to)</t>
        </is>
      </c>
      <c r="E60" s="8" t="inlineStr">
        <is>
          <t>Done</t>
        </is>
      </c>
      <c r="F60" s="7" t="inlineStr">
        <is>
          <t>Verified in browser (fresh tab, zero console errors) on all three tables: link press opens the popover with all three targets, Resource Master target navigates to #/masters/resource/{code} correctly</t>
        </is>
      </c>
      <c r="G60" s="7" t="inlineStr">
        <is>
          <t>PromotionQueue's objectKey could link to its underlying master too, but objectType there is a free-text label (Resource/CBS/Rate/...), not a typed reference the registry can resolve without new backend support — left alone rather than guessing a mapping</t>
        </is>
      </c>
    </row>
    <row r="61">
      <c r="A61" s="7" t="inlineStr">
        <is>
          <t>B-07</t>
        </is>
      </c>
      <c r="B61" s="7" t="inlineStr">
        <is>
          <t>Business</t>
        </is>
      </c>
      <c r="C61" s="7" t="inlineStr">
        <is>
          <t>Purchase requisition from the PROCURE branch</t>
        </is>
      </c>
      <c r="D61" s="7" t="inlineStr">
        <is>
          <t>The advisory decision splits a request four ways, but only IN_HOUSE was ever consumed — createReservation picked those lines up and a PROCURE line dead-ended at lineStatus Advised with nothing behind it (the code said so: "procured lines are the buyer's problem, not the fleet's"). raisePurchaseRequisition closes that seam: it raises one requisition from the PROCURE-decided lines, carrying each line's quantity, approved value, need-by and — critically — its WBS and CBS account assignment, without which the commitment S/4 returns would have no budget line to land on. Per D-21 it is not a KONSTRYX document: inserted straight through the persistence service rather than an ApplicationService precisely because there is no number to stamp</t>
        </is>
      </c>
      <c r="E61" s="8" t="inlineStr">
        <is>
          <t>Done</t>
        </is>
      </c>
      <c r="F61" s="7" t="inlineStr">
        <is>
          <t>28 checks in test_procurement.py. Asserts what it must NOT have as carefully as what it must: no prNo issued locally, no docNo, syncStatus NOT_SENT, and no PR number range in the catalogue (that last check was caught passing vacuously on a malformed query and rewritten to prove the catalogue is readable first). Also asserts only the procured line travels, the in-house line is left at Advised for the fleet, and that availability and reservation still run for the in-house half afterwards</t>
        </is>
      </c>
      <c r="G61" s="7" t="inlineStr">
        <is>
          <t>The S/4 push landed next, as B-09. It needs no EDMX and srv/external/ still does not exist — API_PURCHASEREQ_PROCESS_SRV is called as raw OData V2 through S4Connection, the same seam S4ProjectConnector uses, so nothing is imported and nothing is generated. The material it orders against arrived first (I-35: ResourceNode.s4Material, resolved onto the line when the requisition is raised), and the open question this entry ended on — what to do with a PROCURE line whose resource has no material — is answered: the push refuses the whole requisition by line number and tells the buyer to map the resource, rather than sending an order that names nothing</t>
        </is>
      </c>
    </row>
    <row r="62">
      <c r="A62" s="7" t="inlineStr">
        <is>
          <t>B-08</t>
        </is>
      </c>
      <c r="B62" s="7" t="inlineStr">
        <is>
          <t>Business</t>
        </is>
      </c>
      <c r="C62" s="7" t="inlineStr">
        <is>
          <t>Purchase order mirror, and the commitment it lands on the budget</t>
        </is>
      </c>
      <c r="D62" s="7" t="inlineStr">
        <is>
          <t>Per the ownership table, KONSTRYX never creates a purchase order — S/4 raises it and we mirror it back, so recordPurchaseOrder is inbound only and PurchaseOrder correctly keeps the s4mirror aspect (unlike the requisition, which moved to s4outbound under D-21). The mirrored order links to the requisition it was raised against, and each line INHERITS that requisition line's WBS/CBS rather than restating it — an order that charged somewhere other than its requisition would commit against the wrong budget line. Also adds recordRequisitionResult, the requisition's return leg, which stamps the number S/4 issued. Both follow the ProjectService.recordSyncResult pattern: the connector calls them, and so does a test, so every path writes identical state and none of it needs a live tenant</t>
        </is>
      </c>
      <c r="E62" s="8" t="inlineStr">
        <is>
          <t>Done</t>
        </is>
      </c>
      <c r="F62" s="7" t="inlineStr">
        <is>
          <t>48 checks in test_procurement.py (up from 28). The commitment section is deliberately unconditional — an earlier draft skipped it when the project had no budget, which reads as passing; the fixture now builds a real budget on PRJ-002 so it must run. End state verified: the EQR line reads amount 6,050, committed 231 (the order), encumbered 320 (the reservation), available 5,499 — and refreshing twice leaves it at 231, proving commitment is derived rather than accumulated</t>
        </is>
      </c>
      <c r="G62" s="7" t="inlineStr">
        <is>
          <t>BudgetLine.committed has been documented as 'S/4 PO/SO' since the model was written and never carried a value until now. It is computed at refreshControl the same way encumbrance is — a sum over the orders that exist, not a counter, so a cancelled or re-mirrored order cannot drift it. NOTE this is the procurement branch's commitment, NOT the reservation chain's step 5 (CMT), which is an S/4 PS commitment against the reservation itself and remains unwired; ReservationOverviewHandler still reports that one as pending, correctly</t>
        </is>
      </c>
    </row>
    <row r="63">
      <c r="A63" s="7" t="inlineStr">
        <is>
          <t>B-09</t>
        </is>
      </c>
      <c r="B63" s="7" t="inlineStr">
        <is>
          <t>Business</t>
        </is>
      </c>
      <c r="C63" s="7" t="inlineStr">
        <is>
          <t>The requisition push to S/4 — the outbound half of D-21</t>
        </is>
      </c>
      <c r="D63" s="7" t="inlineStr">
        <is>
          <t>raisePurchaseRequisition built the document and recordRequisitionResult stamped the number S/4 issued, but nothing carried the document ACROSS: the requisition sat NOT_SENT until somebody called the return leg by hand. S4RequisitionConnector closes that, following S4ProjectConnector exactly — it talks to S/4, returns an outcome, and writes nothing; recording goes through the same applyOutcome the manual recordRequisitionResult uses, so a connector run and a correction leave identical state. API_PURCHASEREQ_PROCESS_SRV takes the whole document in one deep insert (header, items, each item's account assignment), which is not a style choice: an item posted separately would be a requisition of its own, and one posted without its account assignment would commit against nothing — the very thing the WBS/CBS on the line exists to prevent. Also fixed a gap this exposed upstream: S4ProjectConnector created WBS elements in S/4 and never recorded what they were called, so WBSElement.s4Key was empty on every row and the account assignment had nothing to name. It now records each element's key from S/4's own response rather than re-deriving it from the KONSTRYX code, which would have put the same normalising rule in two places</t>
        </is>
      </c>
      <c r="E63" s="7" t="inlineStr">
        <is>
          <t>Done — the gates; the live POST is unverified</t>
        </is>
      </c>
      <c r="F63" s="7" t="inlineStr">
        <is>
          <t>69 checks in test_procurement.py (up from 58). Three refusals verified live, each stopping BEFORE any connection is opened: a line whose resource has no material (the buyer is told to map the resource, not handed a connection error), a line whose WBS is not in S/4 yet, and a requisition S/4 has already numbered (409, naming 1000004711). A refused push leaves the requisition NOT_SENT with syncAttempts still 0 — nothing was attempted, so nothing may read as FAILED. Full regression green</t>
        </is>
      </c>
      <c r="G63" s="7" t="inlineStr">
        <is>
          <t>THE LIVE POST HAS NOT RUN. SAP_COM_0102 is not activated on the tenant (Q-09), so the payload shape, the org defaults (S4_PR_SERVICE/S4_PR_TYPE/S4_PLANT/S4_PURCH_ORG/S4_PURCH_GROUP) and the account-assignment category 'P' are S/4 standard content, NOT read off the tenant the way the project connector's defaults were. Expect them to need setting per tenant. The test suite deliberately never constructs a pushable requisition: .env points at the live tenant, so a case that cleared every gate would post a real purchase requisition from a test run — the live path is exercised by hand, once the scenario is activated. NOTE the API and scenario were both corrected on 2026-08-19 under I-43; this entry originally shipped against the wrong ones</t>
        </is>
      </c>
    </row>
    <row r="64">
      <c r="A64" s="7" t="inlineStr">
        <is>
          <t>U-13</t>
        </is>
      </c>
      <c r="B64" s="7" t="inlineStr">
        <is>
          <t>UI</t>
        </is>
      </c>
      <c r="C64" s="7" t="inlineStr">
        <is>
          <t>Budget screens — the engine finally has a front end</t>
        </is>
      </c>
      <c r="D64" s="7" t="inlineStr">
        <is>
          <t>The whole budget engine (generateLines / submit / baseline / shift / riskTransfer / variation / refreshControl) was backend-only, exercised solely by test_budget.py. Built against the wireframe at KONSTRYX_Wireframe_v12/modules/budget.html — which existed all along and was missed by the previous session's search, not genuinely absent. Shipped: a per-project Budget worklist with a New Budget dialog (draft create then draftActivate for the company-scoped BUD- number); a Budget detail page with a five-KPI header (total/committed/encumbered/actual/available), header actions for the four parameterless engine actions gated on lifecycle status, and three tabs — Budget Lines (the CBS x cost-nature control record), Ledger &amp; History (every movement, its category, signed delta, reference and reason) and Approvals (the live CollaborationService chain, since bud.cds's own BudgetApproval composition is unwritten); and Shift / Risk Transfer / Variation dialogs enabled only once Baselined, each enforcing the engine's own mandatory fields client-side before posting</t>
        </is>
      </c>
      <c r="E64" s="8" t="inlineStr">
        <is>
          <t>Done</t>
        </is>
      </c>
      <c r="F64" s="7" t="inlineStr">
        <is>
          <t>Verified in browser against a live baselined budget end to end (fresh tab per pass, zero console errors): BUD-INFC-2026-0001 reads 381,600 across 2 lines, the ledger shows all four categories with the paired SHIFT and RISK_TRANSFER entries summing to zero and the VARIATION unpaired, and the approval chain shows both steps APPROVED with actor and comment. Shift posted through the real dialog moved 1,000 MR-&gt;EQR and the tables refreshed to match. Full regression 13 suites / 271 checks green</t>
        </is>
      </c>
      <c r="G64" s="7" t="inlineStr">
        <is>
          <t>Cost Mapping's Generate Budget Lines placeholder now navigates here; budget added to the ObjectLinks project registry. The wireframe's Resources / Time Phasing / BOQ Analysis / Reconciliation tabs are not built — they need entities that do not exist yet (time-phased BCWS, reconciliation adjustments)</t>
        </is>
      </c>
    </row>
    <row r="65">
      <c r="A65" s="7" t="inlineStr">
        <is>
          <t>U-14</t>
        </is>
      </c>
      <c r="B65" s="7" t="inlineStr">
        <is>
          <t>UI</t>
        </is>
      </c>
      <c r="C65" s="7" t="inlineStr">
        <is>
          <t>Cross-project worklists and tiles for BOQ and Budget</t>
        </is>
      </c>
      <c r="D65" s="7" t="inlineStr">
        <is>
          <t>Both objects could only be reached by opening a project first. Added portfolio-wide BOQ and Budget worklists with full personalization (variant management, adapt filters, column/sort/group settings, Excel export) and launchpad tiles in the Setup &amp; Budget group, matching the way Resource Requests already works</t>
        </is>
      </c>
      <c r="E65" s="8" t="inlineStr">
        <is>
          <t>Done</t>
        </is>
      </c>
      <c r="F65" s="7" t="inlineStr">
        <is>
          <t>Verified in browser: BOQ worklist lists both projects' bills with project code and name resolved, row press opens the right project's BOQ; Budget worklist lists every project's budget, row press opens its detail page</t>
        </is>
      </c>
      <c r="G65" s="7" t="inlineStr">
        <is>
          <t>Cost Mapping and Allocations still have no portfolio-wide entry point — the user asked for those too</t>
        </is>
      </c>
    </row>
    <row r="66">
      <c r="A66" s="7" t="inlineStr">
        <is>
          <t>U-16</t>
        </is>
      </c>
      <c r="B66" s="7" t="inlineStr">
        <is>
          <t>UI</t>
        </is>
      </c>
      <c r="C66" s="7" t="inlineStr">
        <is>
          <t>Cost Mapping — both views, per project and across the portfolio</t>
        </is>
      </c>
      <c r="D66" s="7" t="inlineStr">
        <is>
          <t>Your call: provide both. The per-project workbench is untouched; a portfolio list sits alongside it answering the different question a multi-project reader has — which projects still need a human at all. Counts only, no exception rows, because the point of the list is which project to open and the workbench handles what to do inside it. A 'Needs attention' filter deliberately excludes projects with no bill yet: nothing to map is not the same as work outstanding</t>
        </is>
      </c>
      <c r="E66" s="8" t="inlineStr">
        <is>
          <t>Done</t>
        </is>
      </c>
      <c r="F66" s="7" t="inlineStr">
        <is>
          <t>Verified in browser: the portfolio's numbers reconcile exactly with the workbench it links to (PRJ-001 reads CBS 0 open, WBS 5, resources 4, 9 exceptions, 2 gate rules failing on both screens), the filter drops PRJ-002 which has no bill, and row press opens the right project's workbench. Console clean</t>
        </is>
      </c>
      <c r="G66" s="7" t="inlineStr">
        <is>
          <t>Backed by a new unbound action costMappingPortfolio, which reuses the existing per-project computation rather than duplicating it (onSummary was refactored to delegate to the same summaryOf method). It reads Projects through the ApplicationService, not the PersistenceService, so the authorization layer's instance filter applies — verified live: demo sees both projects, vikram sees only PRJ-001, and users without project rights are refused</t>
        </is>
      </c>
    </row>
    <row r="67">
      <c r="A67" s="7" t="inlineStr">
        <is>
          <t>U-15</t>
        </is>
      </c>
      <c r="B67" s="7" t="inlineStr">
        <is>
          <t>UI</t>
        </is>
      </c>
      <c r="C67" s="7" t="inlineStr">
        <is>
          <t>PromotionQueue object links</t>
        </is>
      </c>
      <c r="D67" s="7" t="inlineStr">
        <is>
          <t>Previously left alone on the belief that objectType was a free-text label. It is not: PromotionHandler stamps it server-side from the target entity's qualified name (MasterDataService.Resources) and reuses that exact string on approval, so it is a closed set equal to the entities exposing requestPromotion. Wired objectKey as a link with a small type-&gt;route map in the controller</t>
        </is>
      </c>
      <c r="E67" s="8" t="inlineStr">
        <is>
          <t>Done</t>
        </is>
      </c>
      <c r="F67" s="7" t="inlineStr">
        <is>
          <t>Confirmed the stored value by triggering a real promotion against EQ-LOC-INFC and reading the queue row back: objectType is MasterDataService.Resources</t>
        </is>
      </c>
      <c r="G67" s="7" t="inlineStr">
        <is>
          <t>Deliberately not routed through ObjectLinks: every row here is master data by definition, so there is exactly one correct target and no picker is warranted</t>
        </is>
      </c>
    </row>
    <row r="68">
      <c r="A68" s="7" t="inlineStr">
        <is>
          <t>U-07</t>
        </is>
      </c>
      <c r="B68" s="7" t="inlineStr">
        <is>
          <t>UI</t>
        </is>
      </c>
      <c r="C68" s="7" t="inlineStr">
        <is>
          <t>Morning Horizon theme</t>
        </is>
      </c>
      <c r="D68" s="7" t="inlineStr">
        <is>
          <t>sap_horizon is Morning Horizon; already the bootstrap theme</t>
        </is>
      </c>
      <c r="E68" s="8" t="inlineStr">
        <is>
          <t>Done</t>
        </is>
      </c>
      <c r="F68" s="7" t="inlineStr">
        <is>
          <t>index.html bootstraps data-sap-ui-theme=sap_horizon</t>
        </is>
      </c>
      <c r="G68" s="7" t="inlineStr">
        <is>
          <t>Must be inherited from the shell once launchpad-hosted, never hard-coded</t>
        </is>
      </c>
    </row>
    <row r="69">
      <c r="A69" s="7" t="inlineStr">
        <is>
          <t>B-01a</t>
        </is>
      </c>
      <c r="B69" s="7" t="inlineStr">
        <is>
          <t>Business</t>
        </is>
      </c>
      <c r="C69" s="7" t="inlineStr">
        <is>
          <t>Masters — hybrid scope enforcement</t>
        </is>
      </c>
      <c r="D69" s="7" t="inlineStr">
        <is>
          <t>Reads on any entity carrying the scoped aspect narrow to GROUP or the user's own companies; aspect duck-typed from the model, not a name list</t>
        </is>
      </c>
      <c r="E69" s="8" t="inlineStr">
        <is>
          <t>Done</t>
        </is>
      </c>
      <c r="F69" s="7" t="inlineStr">
        <is>
          <t>Two stewards in different legal entities each see 5 group masters + their own local one, and neither sees the other's</t>
        </is>
      </c>
      <c r="G69" s="7" t="inlineStr">
        <is>
          <t>—</t>
        </is>
      </c>
    </row>
    <row r="70">
      <c r="A70" s="7" t="inlineStr">
        <is>
          <t>B-01b</t>
        </is>
      </c>
      <c r="B70" s="7" t="inlineStr">
        <is>
          <t>Business</t>
        </is>
      </c>
      <c r="C70" s="7" t="inlineStr">
        <is>
          <t>Masters — promotion queue (mdg)</t>
        </is>
      </c>
      <c r="D70" s="7" t="inlineStr">
        <is>
          <t>requestPromotion on the master, approve/reject on the queue; scope is never edited directly</t>
        </is>
      </c>
      <c r="E70" s="8" t="inlineStr">
        <is>
          <t>Done</t>
        </is>
      </c>
      <c r="F70" s="7" t="inlineStr">
        <is>
          <t>EQ-LOC-INFC invisible to PMI, requested, approved, then visible — reason, decider and outcome recorded</t>
        </is>
      </c>
      <c r="G70" s="7" t="inlineStr">
        <is>
          <t>—</t>
        </is>
      </c>
    </row>
    <row r="71">
      <c r="A71" s="7" t="inlineStr">
        <is>
          <t>B-01c</t>
        </is>
      </c>
      <c r="B71" s="7" t="inlineStr">
        <is>
          <t>Business</t>
        </is>
      </c>
      <c r="C71" s="7" t="inlineStr">
        <is>
          <t>Masters — validation rules</t>
        </is>
      </c>
      <c r="D71" s="7" t="inlineStr">
        <is>
          <t>Level/parent agreement, code uniqueness per scope, rate effective-date clashes, promotion collision check</t>
        </is>
      </c>
      <c r="E71" s="8" t="inlineStr">
        <is>
          <t>Done</t>
        </is>
      </c>
      <c r="F71" s="7" t="inlineStr">
        <is>
          <t>Valid L1 accepted; L5 with no parent, L1 given a parent, L3 under an L5, duplicate code and group-vs-local clash all rejected with 409 and a specific message; promotion blocked while INFC and PMI both hold EQ-DUP, naming both</t>
        </is>
      </c>
      <c r="G71" s="7" t="inlineStr">
        <is>
          <t>—</t>
        </is>
      </c>
    </row>
    <row r="72">
      <c r="A72" s="7" t="inlineStr">
        <is>
          <t>B-01d</t>
        </is>
      </c>
      <c r="B72" s="7" t="inlineStr">
        <is>
          <t>Business</t>
        </is>
      </c>
      <c r="C72" s="7" t="inlineStr">
        <is>
          <t>Masters — remaining entities catalogued</t>
        </is>
      </c>
      <c r="D72" s="7" t="inlineStr">
        <is>
          <t>CBS library, productivity and consumption norms, templates, material mirror added to the authorization catalogue</t>
        </is>
      </c>
      <c r="E72" s="8" t="inlineStr">
        <is>
          <t>Done</t>
        </is>
      </c>
      <c r="F72" s="7" t="inlineStr">
        <is>
          <t>CBS library picked up isolation, promotion and L1-L3 depth checks with no CBS-specific code — both handlers duck-type the scoped aspect</t>
        </is>
      </c>
      <c r="G72" s="7" t="inlineStr">
        <is>
          <t>—</t>
        </is>
      </c>
    </row>
    <row r="73">
      <c r="A73" s="7" t="inlineStr">
        <is>
          <t>B-01e</t>
        </is>
      </c>
      <c r="B73" s="7" t="inlineStr">
        <is>
          <t>Business</t>
        </is>
      </c>
      <c r="C73" s="7" t="inlineStr">
        <is>
          <t>Masters — list screens</t>
        </is>
      </c>
      <c r="D73" s="7" t="inlineStr">
        <is>
          <t>Resource hierarchy, CBS library, rate master and promotion queue, all on live OData with server-side filters</t>
        </is>
      </c>
      <c r="E73" s="8" t="inlineStr">
        <is>
          <t>Done</t>
        </is>
      </c>
      <c r="F73" s="7" t="inlineStr">
        <is>
          <t>Verified by screenshot: 7 resources (PMI's local one correctly absent from an INFC session), 7 CBS nodes, 8 rates, 1 pending promotion</t>
        </is>
      </c>
      <c r="G73" s="7" t="inlineStr">
        <is>
          <t>—</t>
        </is>
      </c>
    </row>
    <row r="74">
      <c r="A74" s="7" t="inlineStr">
        <is>
          <t>B-01f</t>
        </is>
      </c>
      <c r="B74" s="7" t="inlineStr">
        <is>
          <t>Business</t>
        </is>
      </c>
      <c r="C74" s="7" t="inlineStr">
        <is>
          <t>Masters — object page</t>
        </is>
      </c>
      <c r="D74" s="7" t="inlineStr">
        <is>
          <t>Header facts, attributes, rate history and hierarchy children; route carries the code, not the UUID</t>
        </is>
      </c>
      <c r="E74" s="8" t="inlineStr">
        <is>
          <t>Done</t>
        </is>
      </c>
      <c r="F74" s="7" t="inlineStr">
        <is>
          <t>EQ-TWC-12T shows all three of its rates together; EQ-TOWER shows parent EQ-CRANE and child EQ-TWC-12T</t>
        </is>
      </c>
      <c r="G74" s="7" t="inlineStr">
        <is>
          <t>—</t>
        </is>
      </c>
    </row>
    <row r="75">
      <c r="A75" s="7" t="inlineStr">
        <is>
          <t>B-01h</t>
        </is>
      </c>
      <c r="B75" s="7" t="inlineStr">
        <is>
          <t>Business</t>
        </is>
      </c>
      <c r="C75" s="7" t="inlineStr">
        <is>
          <t>Masters — draft editing</t>
        </is>
      </c>
      <c r="D75" s="7" t="inlineStr">
        <is>
          <t>CAP draft: private copy on edit, stored record untouched until activation, resumes an abandoned draft</t>
        </is>
      </c>
      <c r="E75" s="8" t="inlineStr">
        <is>
          <t>Done</t>
        </is>
      </c>
      <c r="F75" s="7" t="inlineStr">
        <is>
          <t>Edit that was previously rejected now activates and persists; validation still fires on activation</t>
        </is>
      </c>
      <c r="G75" s="7" t="inlineStr">
        <is>
          <t>Edit is on the resource page only; the other masters reuse the same pattern</t>
        </is>
      </c>
    </row>
    <row r="76">
      <c r="A76" s="7" t="inlineStr">
        <is>
          <t>B-01g</t>
        </is>
      </c>
      <c r="B76" s="7" t="inlineStr">
        <is>
          <t>Business</t>
        </is>
      </c>
      <c r="C76" s="7" t="inlineStr">
        <is>
          <t>Masters — productivity and consumption norms</t>
        </is>
      </c>
      <c r="D76" s="7" t="inlineStr">
        <is>
          <t>One screen, two tabs; plus a material branch in the resource tree so consumption norms attach to materials rather than equipment</t>
        </is>
      </c>
      <c r="E76" s="8" t="inlineStr">
        <is>
          <t>Done</t>
        </is>
      </c>
      <c r="F76" s="7" t="inlineStr">
        <is>
          <t>4 productivity norms with crew composition, 3 consumption norms with wastage; group 105 kg/m3 rebar against INFC's own 112 kg for coastal detailing</t>
        </is>
      </c>
      <c r="G76" s="7" t="inlineStr">
        <is>
          <t>—</t>
        </is>
      </c>
    </row>
    <row r="77">
      <c r="A77" s="7" t="inlineStr">
        <is>
          <t>B-02a</t>
        </is>
      </c>
      <c r="B77" s="7" t="inlineStr">
        <is>
          <t>Business</t>
        </is>
      </c>
      <c r="C77" s="7" t="inlineStr">
        <is>
          <t>Templates — model and instantiation</t>
        </is>
      </c>
      <c r="D77" s="7" t="inlineStr">
        <is>
          <t>Template carries construction type, CBS structure and default resources; instantiate copies them into a project, two-pass so children parent to their new instances</t>
        </is>
      </c>
      <c r="E77" s="8" t="inlineStr">
        <is>
          <t>Done</t>
        </is>
      </c>
      <c r="F77" s="7" t="inlineStr">
        <is>
          <t>TPL-HIGHRISE into PRJ-002: 7 CBS nodes (3 roots, 4 correctly parented, all traced to library) and 6 planned resources; second run refused</t>
        </is>
      </c>
      <c r="G77" s="7" t="inlineStr">
        <is>
          <t>—</t>
        </is>
      </c>
    </row>
    <row r="78">
      <c r="A78" s="7" t="inlineStr">
        <is>
          <t>B-02b</t>
        </is>
      </c>
      <c r="B78" s="7" t="inlineStr">
        <is>
          <t>Business</t>
        </is>
      </c>
      <c r="C78" s="7" t="inlineStr">
        <is>
          <t>Templates — screen</t>
        </is>
      </c>
      <c r="D78" s="7" t="inlineStr">
        <is>
          <t>List plus an instantiate dialog offering the projects the user may see; refusal surfaces the service's own message</t>
        </is>
      </c>
      <c r="E78" s="8" t="inlineStr">
        <is>
          <t>Done</t>
        </is>
      </c>
      <c r="F78" s="7" t="inlineStr">
        <is>
          <t>Driven through the UI: TPL-HIGHRISE into PRJ-002 created 7 CBS nodes and 6 planned resources; a second run raised the refusal</t>
        </is>
      </c>
      <c r="G78" s="7" t="inlineStr">
        <is>
          <t>Object page for a template still to do</t>
        </is>
      </c>
    </row>
    <row r="79">
      <c r="A79" s="7" t="inlineStr">
        <is>
          <t>B-03a</t>
        </is>
      </c>
      <c r="B79" s="7" t="inlineStr">
        <is>
          <t>Business</t>
        </is>
      </c>
      <c r="C79" s="7" t="inlineStr">
        <is>
          <t>Project Setup</t>
        </is>
      </c>
      <c r="D79" s="7" t="inlineStr">
        <is>
          <t>Project master, WBS, CBS instance; S/4 Enterprise Project mirror</t>
        </is>
      </c>
      <c r="E79" s="7" t="inlineStr">
        <is>
          <t>Not started</t>
        </is>
      </c>
      <c r="F79" s="7" t="inlineStr">
        <is>
          <t>—</t>
        </is>
      </c>
      <c r="G79" s="7" t="inlineStr">
        <is>
          <t>Next block; S/4 tenant (Q-09) becomes the blocker for the mirror</t>
        </is>
      </c>
    </row>
    <row r="80">
      <c r="A80" s="7" t="inlineStr">
        <is>
          <t>B-02</t>
        </is>
      </c>
      <c r="B80" s="7" t="inlineStr">
        <is>
          <t>Business</t>
        </is>
      </c>
      <c r="C80" s="7" t="inlineStr">
        <is>
          <t>Templates</t>
        </is>
      </c>
      <c r="D80" s="7" t="inlineStr">
        <is>
          <t>Project templates: CBS tree + default resources</t>
        </is>
      </c>
      <c r="E80" s="7" t="inlineStr">
        <is>
          <t>Not started</t>
        </is>
      </c>
      <c r="F80" s="7" t="inlineStr">
        <is>
          <t>—</t>
        </is>
      </c>
      <c r="G80" s="7" t="inlineStr">
        <is>
          <t>After Masters</t>
        </is>
      </c>
    </row>
    <row r="81">
      <c r="A81" s="7" t="inlineStr">
        <is>
          <t>B-03</t>
        </is>
      </c>
      <c r="B81" s="7" t="inlineStr">
        <is>
          <t>Business</t>
        </is>
      </c>
      <c r="C81" s="7" t="inlineStr">
        <is>
          <t>Project Setup</t>
        </is>
      </c>
      <c r="D81" s="7" t="inlineStr">
        <is>
          <t>Project, WBS, CBS instance; S/4 Enterprise Project mirror</t>
        </is>
      </c>
      <c r="E81" s="7" t="inlineStr">
        <is>
          <t>Not started</t>
        </is>
      </c>
      <c r="F81" s="7" t="inlineStr">
        <is>
          <t>—</t>
        </is>
      </c>
      <c r="G81" s="7" t="inlineStr">
        <is>
          <t>After Templates</t>
        </is>
      </c>
    </row>
    <row r="82">
      <c r="A82" s="7" t="inlineStr">
        <is>
          <t>B-04</t>
        </is>
      </c>
      <c r="B82" s="7" t="inlineStr">
        <is>
          <t>Business</t>
        </is>
      </c>
      <c r="C82" s="7" t="inlineStr">
        <is>
          <t>Uploads</t>
        </is>
      </c>
      <c r="D82" s="7" t="inlineStr">
        <is>
          <t>BOQ import, estimate import, versioning with progress carry-forward</t>
        </is>
      </c>
      <c r="E82" s="7" t="inlineStr">
        <is>
          <t>Not started</t>
        </is>
      </c>
      <c r="F82" s="7" t="inlineStr">
        <is>
          <t>—</t>
        </is>
      </c>
      <c r="G82" s="7" t="inlineStr">
        <is>
          <t>Highest-risk item in the sequence</t>
        </is>
      </c>
    </row>
    <row r="83">
      <c r="A83" s="7" t="inlineStr">
        <is>
          <t>B-05</t>
        </is>
      </c>
      <c r="B83" s="7" t="inlineStr">
        <is>
          <t>Business</t>
        </is>
      </c>
      <c r="C83" s="7" t="inlineStr">
        <is>
          <t>Project Planning</t>
        </is>
      </c>
      <c r="D83" s="7" t="inlineStr">
        <is>
          <t>Activity layer, native entity + P6 adapter</t>
        </is>
      </c>
      <c r="E83" s="7" t="inlineStr">
        <is>
          <t>Not started</t>
        </is>
      </c>
      <c r="F83" s="7" t="inlineStr">
        <is>
          <t>—</t>
        </is>
      </c>
      <c r="G83" s="7" t="inlineStr">
        <is>
          <t>After Uploads</t>
        </is>
      </c>
    </row>
    <row r="84">
      <c r="A84" s="7" t="inlineStr">
        <is>
          <t>B-06</t>
        </is>
      </c>
      <c r="B84" s="7" t="inlineStr">
        <is>
          <t>Business</t>
        </is>
      </c>
      <c r="C84" s="7" t="inlineStr">
        <is>
          <t>Budgeting</t>
        </is>
      </c>
      <c r="D84" s="7" t="inlineStr">
        <is>
          <t>Budget from BOQ/CBS, 4-category ledger, approval, baseline, encumbrance</t>
        </is>
      </c>
      <c r="E84" s="7" t="inlineStr">
        <is>
          <t>Not started</t>
        </is>
      </c>
      <c r="F84" s="7" t="inlineStr">
        <is>
          <t>—</t>
        </is>
      </c>
      <c r="G84" s="7" t="inlineStr">
        <is>
          <t>After Planning</t>
        </is>
      </c>
    </row>
    <row r="85">
      <c r="A85" s="7" t="inlineStr">
        <is>
          <t>B-07</t>
        </is>
      </c>
      <c r="B85" s="7" t="inlineStr">
        <is>
          <t>Business</t>
        </is>
      </c>
      <c r="C85" s="7" t="inlineStr">
        <is>
          <t>Project Execution</t>
        </is>
      </c>
      <c r="D85" s="7" t="inlineStr">
        <is>
          <t>RR-&gt;CLS chain end to end, material + manpower</t>
        </is>
      </c>
      <c r="E85" s="7" t="inlineStr">
        <is>
          <t>Not started</t>
        </is>
      </c>
      <c r="F85" s="7" t="inlineStr">
        <is>
          <t>—</t>
        </is>
      </c>
      <c r="G85" s="7" t="inlineStr">
        <is>
          <t>After Budgeting</t>
        </is>
      </c>
    </row>
    <row r="86">
      <c r="A86" s="7" t="inlineStr">
        <is>
          <t>B-08</t>
        </is>
      </c>
      <c r="B86" s="7" t="inlineStr">
        <is>
          <t>Business</t>
        </is>
      </c>
      <c r="C86" s="7" t="inlineStr">
        <is>
          <t>Project Commercial</t>
        </is>
      </c>
      <c r="D86" s="7" t="inlineStr">
        <is>
          <t>Client billing, variations, payment certificates</t>
        </is>
      </c>
      <c r="E86" s="7" t="inlineStr">
        <is>
          <t>Not started</t>
        </is>
      </c>
      <c r="F86" s="7" t="inlineStr">
        <is>
          <t>—</t>
        </is>
      </c>
      <c r="G86" s="7" t="inlineStr">
        <is>
          <t>After Execution</t>
        </is>
      </c>
    </row>
    <row r="87">
      <c r="A87" s="7" t="inlineStr">
        <is>
          <t>B-09</t>
        </is>
      </c>
      <c r="B87" s="7" t="inlineStr">
        <is>
          <t>Business</t>
        </is>
      </c>
      <c r="C87" s="7" t="inlineStr">
        <is>
          <t>Plant Department</t>
        </is>
      </c>
      <c r="D87" s="7" t="inlineStr">
        <is>
          <t>Equipment, fleet, scaffolding/formwork</t>
        </is>
      </c>
      <c r="E87" s="7" t="inlineStr">
        <is>
          <t>Not started</t>
        </is>
      </c>
      <c r="F87" s="7" t="inlineStr">
        <is>
          <t>—</t>
        </is>
      </c>
      <c r="G87" s="7" t="inlineStr">
        <is>
          <t>Last per your sequence</t>
        </is>
      </c>
    </row>
    <row r="88">
      <c r="A88" s="7" t="inlineStr">
        <is>
          <t>D-01</t>
        </is>
      </c>
      <c r="B88" s="7" t="inlineStr">
        <is>
          <t>Deployment</t>
        </is>
      </c>
      <c r="C88" s="7" t="inlineStr">
        <is>
          <t>MTA builds a deployable archive</t>
        </is>
      </c>
      <c r="D88" s="7" t="inlineStr">
        <is>
          <t>Approuter + srv + db-deployer; XSUAA, HANA, Destination resources</t>
        </is>
      </c>
      <c r="E88" s="8" t="inlineStr">
        <is>
          <t>Done</t>
        </is>
      </c>
      <c r="F88" s="7" t="inlineStr">
        <is>
          <t>konstryx_0.1.0.mtar 68.9 MB; 234 HDI artifacts and .hdiconfig verified inside the db-deployer</t>
        </is>
      </c>
      <c r="G88" s="7" t="inlineStr">
        <is>
          <t>—</t>
        </is>
      </c>
    </row>
    <row r="89">
      <c r="A89" s="7" t="inlineStr">
        <is>
          <t>D-04</t>
        </is>
      </c>
      <c r="B89" s="7" t="inlineStr">
        <is>
          <t>Deployment</t>
        </is>
      </c>
      <c r="C89" s="7" t="inlineStr">
        <is>
          <t>First Cloud Foundry deployment</t>
        </is>
      </c>
      <c r="D89" s="7" t="inlineStr">
        <is>
          <t>Push the archive, bind services, verify the app end to end in the cloud</t>
        </is>
      </c>
      <c r="E89" s="9" t="inlineStr">
        <is>
          <t>Blocked</t>
        </is>
      </c>
      <c r="F89" s="7" t="inlineStr">
        <is>
          <t>—</t>
        </is>
      </c>
      <c r="G89" s="7" t="inlineStr">
        <is>
          <t>Blocked by I-24: needs a KONSTRYX subaccount and cf login</t>
        </is>
      </c>
    </row>
    <row r="90">
      <c r="A90" s="7" t="inlineStr">
        <is>
          <t>D-02</t>
        </is>
      </c>
      <c r="B90" s="7" t="inlineStr">
        <is>
          <t>Deployment</t>
        </is>
      </c>
      <c r="C90" s="7" t="inlineStr">
        <is>
          <t>S/4HANA Public Cloud connector</t>
        </is>
      </c>
      <c r="D90" s="7" t="inlineStr">
        <is>
          <t>S4Connection (credentials, CSRF handshake) + S4ProjectConnector (project + WBS push to API_ENTERPRISE_PROJECT_SRV) built and run live against S4-SANDBOX: KX-S4-001 created via release -&gt; sync, confirmed by independent read-back (profile YP05)</t>
        </is>
      </c>
      <c r="E90" s="8" t="inlineStr">
        <is>
          <t>Done</t>
        </is>
      </c>
      <c r="F90" s="7" t="inlineStr">
        <is>
          <t>D-17 loop ran live on the tenant; see Q-09p</t>
        </is>
      </c>
      <c r="G90" s="7" t="inlineStr">
        <is>
          <t>Scoped to the project scenario only — procurement, finance and BP mirror connectors are not built; BTP destination replaces S4Connection at deployment</t>
        </is>
      </c>
    </row>
    <row r="91">
      <c r="A91" s="7" t="inlineStr">
        <is>
          <t>D-03</t>
        </is>
      </c>
      <c r="B91" s="7" t="inlineStr">
        <is>
          <t>Deployment</t>
        </is>
      </c>
      <c r="C91" s="7" t="inlineStr">
        <is>
          <t>CI/CD pipeline</t>
        </is>
      </c>
      <c r="D91" s="7" t="inlineStr">
        <is>
          <t>Not started</t>
        </is>
      </c>
      <c r="E91" s="7" t="inlineStr">
        <is>
          <t>Not started</t>
        </is>
      </c>
      <c r="F91" s="7" t="inlineStr">
        <is>
          <t>—</t>
        </is>
      </c>
      <c r="G91" s="7" t="inlineStr">
        <is>
          <t>Decision needed</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showGridLines="0" workbookViewId="0">
      <pane ySplit="5" topLeftCell="A6" activePane="bottomLeft" state="frozen"/>
      <selection pane="bottomLeft" activeCell="A1" sqref="A1"/>
    </sheetView>
  </sheetViews>
  <sheetFormatPr baseColWidth="8" defaultRowHeight="15"/>
  <cols>
    <col width="8" customWidth="1" min="1" max="1"/>
    <col width="12" customWidth="1" min="2" max="2"/>
    <col width="44" customWidth="1" min="3" max="3"/>
    <col width="62" customWidth="1" min="4" max="4"/>
    <col width="22" customWidth="1" min="5" max="5"/>
    <col width="42" customWidth="1" min="6" max="6"/>
    <col width="12" customWidth="1" min="7" max="7"/>
  </cols>
  <sheetData>
    <row r="1" ht="20" customHeight="1">
      <c r="A1" s="1" t="inlineStr">
        <is>
          <t>Decisions taken — for your review</t>
        </is>
      </c>
    </row>
    <row r="2">
      <c r="A2" s="2" t="inlineStr">
        <is>
          <t>Everything here is currently binding. Tell me if any should be reopened.</t>
        </is>
      </c>
    </row>
    <row r="5" ht="28" customHeight="1">
      <c r="A5" s="4" t="inlineStr">
        <is>
          <t>ID</t>
        </is>
      </c>
      <c r="B5" s="4" t="inlineStr">
        <is>
          <t>Date</t>
        </is>
      </c>
      <c r="C5" s="4" t="inlineStr">
        <is>
          <t>Decision</t>
        </is>
      </c>
      <c r="D5" s="4" t="inlineStr">
        <is>
          <t>Rationale</t>
        </is>
      </c>
      <c r="E5" s="4" t="inlineStr">
        <is>
          <t>Decided by</t>
        </is>
      </c>
      <c r="F5" s="4" t="inlineStr">
        <is>
          <t>Impact if reversed</t>
        </is>
      </c>
      <c r="G5" s="4" t="inlineStr">
        <is>
          <t>Status</t>
        </is>
      </c>
    </row>
    <row r="6">
      <c r="A6" s="7" t="inlineStr">
        <is>
          <t>D-01</t>
        </is>
      </c>
      <c r="B6" s="7" t="inlineStr">
        <is>
          <t>2026-08-15</t>
        </is>
      </c>
      <c r="C6" s="7" t="inlineStr">
        <is>
          <t>Runtime is CAP Java, not Node.js</t>
        </is>
      </c>
      <c r="D6" s="7" t="inlineStr">
        <is>
          <t>Skeleton, pom.xml, mta.yaml and generated EDMX are already Java; phase plan staffs 2 CAP Java devs; workload is integration-heavy and long-lived</t>
        </is>
      </c>
      <c r="E6" s="7" t="inlineStr">
        <is>
          <t>Claude (delegated by you)</t>
        </is>
      </c>
      <c r="F6" s="7" t="inlineStr">
        <is>
          <t>High — rewrites pom, mta, handlers and the staffing plan</t>
        </is>
      </c>
      <c r="G6" s="8" t="inlineStr">
        <is>
          <t>Decided</t>
        </is>
      </c>
    </row>
    <row r="7">
      <c r="A7" s="7" t="inlineStr">
        <is>
          <t>D-02</t>
        </is>
      </c>
      <c r="B7" s="7" t="inlineStr">
        <is>
          <t>2026-08-15</t>
        </is>
      </c>
      <c r="C7" s="7" t="inlineStr">
        <is>
          <t>Dedicated deployment per client, not shared multitenancy</t>
        </is>
      </c>
      <c r="D7" s="7" t="inlineStr">
        <is>
          <t>Your instruction. tenant-mode stays dedicated; no MTX sidecar, no SaaS registry</t>
        </is>
      </c>
      <c r="E7" s="7" t="inlineStr">
        <is>
          <t>You</t>
        </is>
      </c>
      <c r="F7" s="7" t="inlineStr">
        <is>
          <t>High — MTX retrofit, HDI-per-tenant, subscription callbacks</t>
        </is>
      </c>
      <c r="G7" s="8" t="inlineStr">
        <is>
          <t>Decided</t>
        </is>
      </c>
    </row>
    <row r="8">
      <c r="A8" s="7" t="inlineStr">
        <is>
          <t>D-03</t>
        </is>
      </c>
      <c r="B8" s="7" t="inlineStr">
        <is>
          <t>2026-08-15</t>
        </is>
      </c>
      <c r="C8" s="7" t="inlineStr">
        <is>
          <t>Code lists ship; business content is an optional import</t>
        </is>
      </c>
      <c r="D8" s="7" t="inlineStr">
        <is>
          <t>Your instruction. db/data holds only what every client legitimately receives</t>
        </is>
      </c>
      <c r="E8" s="7" t="inlineStr">
        <is>
          <t>You</t>
        </is>
      </c>
      <c r="F8" s="7" t="inlineStr">
        <is>
          <t>Medium — changes onboarding and what db/data contains</t>
        </is>
      </c>
      <c r="G8" s="8" t="inlineStr">
        <is>
          <t>Decided</t>
        </is>
      </c>
    </row>
    <row r="9">
      <c r="A9" s="7" t="inlineStr">
        <is>
          <t>D-04</t>
        </is>
      </c>
      <c r="B9" s="7" t="inlineStr">
        <is>
          <t>2026-08-15</t>
        </is>
      </c>
      <c r="C9" s="7" t="inlineStr">
        <is>
          <t>Vertical-specific extension entity per request line</t>
        </is>
      </c>
      <c r="D9" s="7" t="inlineStr">
        <is>
          <t>Your instruction. Six verticals differ genuinely; one flat line entity would be mostly null</t>
        </is>
      </c>
      <c r="E9" s="7" t="inlineStr">
        <is>
          <t>You</t>
        </is>
      </c>
      <c r="F9" s="7" t="inlineStr">
        <is>
          <t>Medium — reshapes all six verticals</t>
        </is>
      </c>
      <c r="G9" s="8" t="inlineStr">
        <is>
          <t>Decided</t>
        </is>
      </c>
    </row>
    <row r="10">
      <c r="A10" s="7" t="inlineStr">
        <is>
          <t>D-05</t>
        </is>
      </c>
      <c r="B10" s="7" t="inlineStr">
        <is>
          <t>2026-08-15</t>
        </is>
      </c>
      <c r="C10" s="7" t="inlineStr">
        <is>
          <t>Evolve the existing freestyle UI5 app to OData V4</t>
        </is>
      </c>
      <c r="D10" s="7" t="inlineStr">
        <is>
          <t>Preserves the app stakeholders already validated as 'how it will look when developed'</t>
        </is>
      </c>
      <c r="E10" s="7" t="inlineStr">
        <is>
          <t>You</t>
        </is>
      </c>
      <c r="F10" s="7" t="inlineStr">
        <is>
          <t>High — discards the validated app</t>
        </is>
      </c>
      <c r="G10" s="8" t="inlineStr">
        <is>
          <t>Decided</t>
        </is>
      </c>
    </row>
    <row r="11">
      <c r="A11" s="7" t="inlineStr">
        <is>
          <t>D-06</t>
        </is>
      </c>
      <c r="B11" s="7" t="inlineStr">
        <is>
          <t>2026-08-15</t>
        </is>
      </c>
      <c r="C11" s="7" t="inlineStr">
        <is>
          <t>First increment is a vertical slice, not platform-first</t>
        </is>
      </c>
      <c r="D11" s="7" t="inlineStr">
        <is>
          <t>Proves CDS + handlers + auth + UI binding end to end before scaling</t>
        </is>
      </c>
      <c r="E11" s="7" t="inlineStr">
        <is>
          <t>You</t>
        </is>
      </c>
      <c r="F11" s="7" t="inlineStr">
        <is>
          <t>Low — sequencing only</t>
        </is>
      </c>
      <c r="G11" s="8" t="inlineStr">
        <is>
          <t>Decided</t>
        </is>
      </c>
    </row>
    <row r="12">
      <c r="A12" s="7" t="inlineStr">
        <is>
          <t>D-07</t>
        </is>
      </c>
      <c r="B12" s="7" t="inlineStr">
        <is>
          <t>2026-08-15</t>
        </is>
      </c>
      <c r="C12" s="7" t="inlineStr">
        <is>
          <t>Build repo outside OneDrive, git-tracked</t>
        </is>
      </c>
      <c r="D12" s="7" t="inlineStr">
        <is>
          <t>OneDrive sync on node_modules/target/gen causes file locks and corrupted builds</t>
        </is>
      </c>
      <c r="E12" s="7" t="inlineStr">
        <is>
          <t>You</t>
        </is>
      </c>
      <c r="F12" s="7" t="inlineStr">
        <is>
          <t>Low</t>
        </is>
      </c>
      <c r="G12" s="8" t="inlineStr">
        <is>
          <t>Decided</t>
        </is>
      </c>
    </row>
    <row r="13">
      <c r="A13" s="7" t="inlineStr">
        <is>
          <t>D-08</t>
        </is>
      </c>
      <c r="B13" s="7" t="inlineStr">
        <is>
          <t>2026-08-15</t>
        </is>
      </c>
      <c r="C13" s="7" t="inlineStr">
        <is>
          <t>CAP Java 4.9.3 + Spring Boot 3.5.6</t>
        </is>
      </c>
      <c r="D13" s="7" t="inlineStr">
        <is>
          <t>CAP Java 3.5.0 rejects cds-compiler 6 shipped by @sap/cds 9; every query returned 500</t>
        </is>
      </c>
      <c r="E13" s="7" t="inlineStr">
        <is>
          <t>Claude (technical)</t>
        </is>
      </c>
      <c r="F13" s="7" t="inlineStr">
        <is>
          <t>Low — but do not drop to 3.x without pinning cds-dk to 8</t>
        </is>
      </c>
      <c r="G13" s="8" t="inlineStr">
        <is>
          <t>Decided</t>
        </is>
      </c>
    </row>
    <row r="14">
      <c r="A14" s="7" t="inlineStr">
        <is>
          <t>D-09</t>
        </is>
      </c>
      <c r="B14" s="7" t="inlineStr">
        <is>
          <t>2026-08-15</t>
        </is>
      </c>
      <c r="C14" s="7" t="inlineStr">
        <is>
          <t>Authorization is configured at runtime, not compiled into XSUAA scopes</t>
        </is>
      </c>
      <c r="D14" s="7" t="inlineStr">
        <is>
          <t>Your requirement for S/4-style in-app administration by project, company and module</t>
        </is>
      </c>
      <c r="E14" s="7" t="inlineStr">
        <is>
          <t>You</t>
        </is>
      </c>
      <c r="F14" s="7" t="inlineStr">
        <is>
          <t>High — the whole auth layer</t>
        </is>
      </c>
      <c r="G14" s="8" t="inlineStr">
        <is>
          <t>Decided</t>
        </is>
      </c>
    </row>
    <row r="15">
      <c r="A15" s="7" t="inlineStr">
        <is>
          <t>D-10</t>
        </is>
      </c>
      <c r="B15" s="7" t="inlineStr">
        <is>
          <t>2026-08-15</t>
        </is>
      </c>
      <c r="C15" s="7" t="inlineStr">
        <is>
          <t>XSUAA Admin role bypasses the data-driven auth layer</t>
        </is>
      </c>
      <c r="D15" s="7" t="inlineStr">
        <is>
          <t>A fresh deployment has no personas or assignments; without it nobody could sign in to create the first one</t>
        </is>
      </c>
      <c r="E15" s="7" t="inlineStr">
        <is>
          <t>Claude (technical)</t>
        </is>
      </c>
      <c r="F15" s="7" t="inlineStr">
        <is>
          <t>Low — but it is a standing privileged path, worth a security review</t>
        </is>
      </c>
      <c r="G15" s="8" t="inlineStr">
        <is>
          <t>Decided</t>
        </is>
      </c>
    </row>
    <row r="16">
      <c r="A16" s="7" t="inlineStr">
        <is>
          <t>D-11</t>
        </is>
      </c>
      <c r="B16" s="7" t="inlineStr">
        <is>
          <t>2026-08-15</t>
        </is>
      </c>
      <c r="C16" s="7" t="inlineStr">
        <is>
          <t>Seeded EQR line values at AED 685,080, not the 716,044 header</t>
        </is>
      </c>
      <c r="D16" s="7" t="inlineStr">
        <is>
          <t>The line values are self-consistent and reconcile exactly to the per-WBS commitment breakdown; the header does not</t>
        </is>
      </c>
      <c r="E16" s="7" t="inlineStr">
        <is>
          <t>Claude (flagged to you)</t>
        </is>
      </c>
      <c r="F16" s="7" t="inlineStr">
        <is>
          <t>Low technically, but the demo numbers must be settled</t>
        </is>
      </c>
      <c r="G16" s="8" t="inlineStr">
        <is>
          <t>Decided</t>
        </is>
      </c>
    </row>
    <row r="17">
      <c r="A17" s="7" t="inlineStr">
        <is>
          <t>D-12</t>
        </is>
      </c>
      <c r="B17" s="7" t="inlineStr">
        <is>
          <t>2026-08-15</t>
        </is>
      </c>
      <c r="C17" s="7" t="inlineStr">
        <is>
          <t>CAP service listens on 8090 locally</t>
        </is>
      </c>
      <c r="D17" s="7" t="inlineStr">
        <is>
          <t>8080 is taken by the UI5 dev server</t>
        </is>
      </c>
      <c r="E17" s="7" t="inlineStr">
        <is>
          <t>Claude (technical)</t>
        </is>
      </c>
      <c r="F17" s="7" t="inlineStr">
        <is>
          <t>Trivial</t>
        </is>
      </c>
      <c r="G17" s="8" t="inlineStr">
        <is>
          <t>Decided</t>
        </is>
      </c>
    </row>
    <row r="18">
      <c r="A18" s="7" t="inlineStr">
        <is>
          <t>D-13</t>
        </is>
      </c>
      <c r="B18" s="7" t="inlineStr">
        <is>
          <t>2026-08-15</t>
        </is>
      </c>
      <c r="C18" s="7" t="inlineStr">
        <is>
          <t>Number range scope is configurable per object, not a product-wide choice</t>
        </is>
      </c>
      <c r="D18" s="7" t="inlineStr">
        <is>
          <t>Your instruction. Scope (GLOBAL/COMPANY) and pattern are configured independently so a client can print the company code while running one group series, or vice versa</t>
        </is>
      </c>
      <c r="E18" s="7" t="inlineStr">
        <is>
          <t>You</t>
        </is>
      </c>
      <c r="F18" s="7" t="inlineStr">
        <is>
          <t>Low — configuration only</t>
        </is>
      </c>
      <c r="G18" s="8" t="inlineStr">
        <is>
          <t>Decided</t>
        </is>
      </c>
    </row>
    <row r="19">
      <c r="A19" s="7" t="inlineStr">
        <is>
          <t>D-14</t>
        </is>
      </c>
      <c r="B19" s="7" t="inlineStr">
        <is>
          <t>2026-08-15</t>
        </is>
      </c>
      <c r="C19" s="7" t="inlineStr">
        <is>
          <t>Document numbers are issued on draft activation, not draft creation</t>
        </is>
      </c>
      <c r="D19" s="7" t="inlineStr">
        <is>
          <t>Abandoned drafts would otherwise burn numbers and leave gaps in the series</t>
        </is>
      </c>
      <c r="E19" s="7" t="inlineStr">
        <is>
          <t>Claude (technical)</t>
        </is>
      </c>
      <c r="F19" s="7" t="inlineStr">
        <is>
          <t>Low, but gap-free numbering is sometimes an audit requirement — confirm if so</t>
        </is>
      </c>
      <c r="G19" s="8" t="inlineStr">
        <is>
          <t>Decided</t>
        </is>
      </c>
    </row>
    <row r="20">
      <c r="A20" s="7" t="inlineStr">
        <is>
          <t>D-15</t>
        </is>
      </c>
      <c r="B20" s="7" t="inlineStr">
        <is>
          <t>2026-08-15</t>
        </is>
      </c>
      <c r="C20" s="7" t="inlineStr">
        <is>
          <t>UI is launchpad-hosted; Spaces and Pages are launchpad configuration, not application data</t>
        </is>
      </c>
      <c r="D20" s="7" t="inlineStr">
        <is>
          <t>Your requirement to blend with S/4HANA. The shell, theme and navigation come from the launchpad; the app renders content only. Modelling spaces as CDS entities was started and abandoned as wrong for this target</t>
        </is>
      </c>
      <c r="E20" s="7" t="inlineStr">
        <is>
          <t>You</t>
        </is>
      </c>
      <c r="F20" s="7" t="inlineStr">
        <is>
          <t>High — supersedes part of D-05; the app's own ToolPage shell must be removed</t>
        </is>
      </c>
      <c r="G20" s="8" t="inlineStr">
        <is>
          <t>Decided</t>
        </is>
      </c>
    </row>
    <row r="21">
      <c r="A21" s="7" t="inlineStr">
        <is>
          <t>D-16</t>
        </is>
      </c>
      <c r="B21" s="7" t="inlineStr">
        <is>
          <t>2026-08-15</t>
        </is>
      </c>
      <c r="C21" s="7" t="inlineStr">
        <is>
          <t>Option A — S/4HANA Public Cloud's own launchpad is the shell, not SAP Build Work Zone</t>
        </is>
      </c>
      <c r="D21" s="7" t="inlineStr">
        <is>
          <t>Users live in S/4 all day, so one shell is the strongest blend. Avoids a Work Zone dependency and licence per client. App registered as IAM External App via LADI -&gt; Business Catalog -&gt; Business Role</t>
        </is>
      </c>
      <c r="E21" s="7" t="inlineStr">
        <is>
          <t>You</t>
        </is>
      </c>
      <c r="F21" s="7" t="inlineStr">
        <is>
          <t>Medium — Work Zone remains available later; app-side work (intents, no own shell) is identical either way, so switching costs launchpad configuration only</t>
        </is>
      </c>
      <c r="G21" s="8" t="inlineStr">
        <is>
          <t>Decided</t>
        </is>
      </c>
    </row>
    <row r="22">
      <c r="A22" s="7" t="inlineStr">
        <is>
          <t>D-17</t>
        </is>
      </c>
      <c r="B22" s="7" t="inlineStr">
        <is>
          <t>2026-08-15</t>
        </is>
      </c>
      <c r="C22" s="7" t="inlineStr">
        <is>
          <t>The project is mastered in KONSTRYX, not in S/4</t>
        </is>
      </c>
      <c r="D22" s="7" t="inlineStr">
        <is>
          <t>Your instruction. A project is created in KONSTRYX and synchronised outward to S/4, or brought in from Primavera P6. This reverses the KONSTRYX-as-reader assumption for the project object specifically; procurement and finance stay S/4-owned</t>
        </is>
      </c>
      <c r="E22" s="7" t="inlineStr">
        <is>
          <t>You</t>
        </is>
      </c>
      <c r="F22" s="7" t="inlineStr">
        <is>
          <t>High — prj.Project is currently @readonly as an S/4 mirror and must become writable with outbound sync and an unsynchronised state visible in the UI</t>
        </is>
      </c>
      <c r="G22" s="8" t="inlineStr">
        <is>
          <t>Decided</t>
        </is>
      </c>
    </row>
    <row r="23">
      <c r="A23" s="7" t="inlineStr">
        <is>
          <t>D-18</t>
        </is>
      </c>
      <c r="B23" s="7" t="inlineStr">
        <is>
          <t>2026-08-15</t>
        </is>
      </c>
      <c r="C23" s="7" t="inlineStr">
        <is>
          <t>Every master and transaction gets upload and download</t>
        </is>
      </c>
      <c r="D23" s="7" t="inlineStr">
        <is>
          <t>Your instruction. Excel import/export as a first-class capability rather than per-screen bespoke work, and the route by which projects arrive from P6</t>
        </is>
      </c>
      <c r="E23" s="7" t="inlineStr">
        <is>
          <t>You</t>
        </is>
      </c>
      <c r="F23" s="7" t="inlineStr">
        <is>
          <t>High — a shared import/export framework touching every module; needs template definition, validation, error reporting and a staging area</t>
        </is>
      </c>
      <c r="G23" s="8" t="inlineStr">
        <is>
          <t>Decided</t>
        </is>
      </c>
    </row>
    <row r="24">
      <c r="A24" s="7" t="inlineStr">
        <is>
          <t>D-22</t>
        </is>
      </c>
      <c r="B24" s="7" t="inlineStr">
        <is>
          <t>2026-08-15</t>
        </is>
      </c>
      <c r="C24" s="7" t="inlineStr">
        <is>
          <t>SPEC-planning-budget.md adopted as the planning/budget contract</t>
        </is>
      </c>
      <c r="D24" s="7" t="inlineStr">
        <is>
          <t>Your handover of the full spec. Deltas implemented: derived netRate with inbound ignored (CALC-01), crew expansion with hours multiplied not divided (CALC-02/UT-09), rate-missing writes no build-up line (IT-08), budgetQty vs contractQty never crossed (CALC-05), difficultySrc recorded, resourceAffinity removed (RG-02), and the KX-GOV-002 gate with VAL-01..07 wired into budget generation as 409 GATE_FAILED</t>
        </is>
      </c>
      <c r="E24" s="7" t="inlineStr">
        <is>
          <t>You</t>
        </is>
      </c>
      <c r="F24" s="7" t="inlineStr">
        <is>
          <t>Deliberately deferred, per the spec's own open items: CALC-03 activity tiers (no Activity entity yet), the four-class roll-up (OPEN-01/02 unpinned), budgetQty derivation (OPEN-04), crew role-to-resource mapping (undefined in the spec)</t>
        </is>
      </c>
      <c r="G24" s="8" t="inlineStr">
        <is>
          <t>Decided</t>
        </is>
      </c>
    </row>
    <row r="25">
      <c r="A25" s="7" t="inlineStr">
        <is>
          <t>D-21</t>
        </is>
      </c>
      <c r="B25" s="7" t="inlineStr">
        <is>
          <t>2026-08-17</t>
        </is>
      </c>
      <c r="C25" s="7" t="inlineStr">
        <is>
          <t>The resource request is ours; the purchase requisition is S/4's</t>
        </is>
      </c>
      <c r="D25" s="7" t="inlineStr">
        <is>
          <t>Your ruling: "Resource request is KONSTRYX doc, Purchase request is S/4 number not internal." RR keeps its KONSTRYX number range, documented aspect, status model and approval. PR draws no number range and gets no docNo — its identity is the S/4 requisition number, and prNo stays empty until S/4 accepts it. This resolves a real contradiction that would have been built the wrong way: the procurement wireframes render the PR as "Read-only from S/4" while INTEGRATION.md says KONSTRYX creates it. Both are right about different halves — KONSTRYX initiates, S/4 numbers and owns</t>
        </is>
      </c>
      <c r="E25" s="7" t="inlineStr">
        <is>
          <t>You</t>
        </is>
      </c>
      <c r="F25" s="7" t="inlineStr">
        <is>
          <t>Implemented: PurchaseRequisition moved from the s4mirror aspect to s4outbound (a mirror defaults syncStatus to OK, which would call a requisition that never reached S/4 a good one; outbound defaults to NOT_SENT and keeps what S/4 said when it refused). A regression check asserts no PR number range exists and none was invented</t>
        </is>
      </c>
      <c r="G25" s="8" t="inlineStr">
        <is>
          <t>Decided</t>
        </is>
      </c>
    </row>
    <row r="26">
      <c r="A26" s="7" t="inlineStr">
        <is>
          <t>D-20</t>
        </is>
      </c>
      <c r="B26" s="7" t="inlineStr">
        <is>
          <t>2026-08-15</t>
        </is>
      </c>
      <c r="C26" s="7" t="inlineStr">
        <is>
          <t>Cost nature is six, the ledger is four, and they never meet</t>
        </is>
      </c>
      <c r="D26" s="7" t="inlineStr">
        <is>
          <t>Your wireframe answer: cost nature = the six verticals (MR, MPR, EQR, VR, SF, SC), computed from the resource build-up; the Budget Ledger four (Original / Shift / Risk Transfer / Variation, KX-BUD-004) is a movement taxonomy computed from ledger entries. My earlier four-category cost framing was wrong and is retired</t>
        </is>
      </c>
      <c r="E26" s="7" t="inlineStr">
        <is>
          <t>You</t>
        </is>
      </c>
      <c r="F26" s="7" t="inlineStr">
        <is>
          <t>Both implemented: budget lines carry the six; every movement is one ledger entry in one of the four</t>
        </is>
      </c>
      <c r="G26" s="8" t="inlineStr">
        <is>
          <t>Decided</t>
        </is>
      </c>
    </row>
    <row r="27">
      <c r="A27" s="7" t="inlineStr">
        <is>
          <t>D-21</t>
        </is>
      </c>
      <c r="B27" s="7" t="inlineStr">
        <is>
          <t>2026-08-15</t>
        </is>
      </c>
      <c r="C27" s="7" t="inlineStr">
        <is>
          <t>Build-up recipes are keyed on the CBS leaf</t>
        </is>
      </c>
      <c r="D27" s="7" t="inlineStr">
        <is>
          <t>Your wireframe answer: Resource x Linked CBS x Activity x Company. A BOQ line resolves through its CBS leaf; nobody keys resources per line; MANUAL build-up is a flagged exception awaiting a recipe, not a way of working</t>
        </is>
      </c>
      <c r="E27" s="7" t="inlineStr">
        <is>
          <t>You</t>
        </is>
      </c>
      <c r="F27" s="7" t="inlineStr">
        <is>
          <t>Implemented, incl. the governance consequence: two lines on one leaf share one recipe, so spec variance needs a distinct leaf or activity code</t>
        </is>
      </c>
      <c r="G27" s="8" t="inlineStr">
        <is>
          <t>Decided</t>
        </is>
      </c>
    </row>
    <row r="28">
      <c r="A28" s="7" t="inlineStr">
        <is>
          <t>D-19</t>
        </is>
      </c>
      <c r="B28" s="7" t="inlineStr">
        <is>
          <t>2026-08-15</t>
        </is>
      </c>
      <c r="C28" s="7" t="inlineStr">
        <is>
          <t>Flexible approval workflow on every object</t>
        </is>
      </c>
      <c r="D28" s="7" t="inlineStr">
        <is>
          <t>Your instruction. Extends the approval framework already modelled from budgets to all masters and transactions, with the workflow configurable rather than coded</t>
        </is>
      </c>
      <c r="E28" s="7" t="inlineStr">
        <is>
          <t>You</t>
        </is>
      </c>
      <c r="F28" s="7" t="inlineStr">
        <is>
          <t>Engine built and verified. Value bands, approver personas, separation of duties, delegation and withdrawal are all configuration. Remaining: the inbox screen and wiring submit into each object's lifecycle</t>
        </is>
      </c>
      <c r="G28" s="7" t="inlineStr">
        <is>
          <t>Decided — engine done</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showGridLines="0" workbookViewId="0">
      <pane ySplit="5" topLeftCell="A6" activePane="bottomLeft" state="frozen"/>
      <selection pane="bottomLeft" activeCell="A1" sqref="A1"/>
    </sheetView>
  </sheetViews>
  <sheetFormatPr baseColWidth="8" defaultRowHeight="15"/>
  <cols>
    <col width="8" customWidth="1" min="1" max="1"/>
    <col width="56" customWidth="1" min="2" max="2"/>
    <col width="58" customWidth="1" min="3" max="3"/>
    <col width="50" customWidth="1" min="4" max="4"/>
    <col width="26" customWidth="1" min="5" max="5"/>
    <col width="10" customWidth="1" min="6" max="6"/>
    <col width="22" customWidth="1" min="7" max="7"/>
  </cols>
  <sheetData>
    <row r="1" ht="20" customHeight="1">
      <c r="A1" s="1" t="inlineStr">
        <is>
          <t>Open decisions — needed from you</t>
        </is>
      </c>
    </row>
    <row r="2">
      <c r="A2" s="2" t="inlineStr">
        <is>
          <t>These block or shape work already in the sequence. Ordered by when I need the answer.</t>
        </is>
      </c>
    </row>
    <row r="5" ht="28" customHeight="1">
      <c r="A5" s="4" t="inlineStr">
        <is>
          <t>ID</t>
        </is>
      </c>
      <c r="B5" s="4" t="inlineStr">
        <is>
          <t>Question</t>
        </is>
      </c>
      <c r="C5" s="4" t="inlineStr">
        <is>
          <t>Why it matters</t>
        </is>
      </c>
      <c r="D5" s="4" t="inlineStr">
        <is>
          <t>Options</t>
        </is>
      </c>
      <c r="E5" s="4" t="inlineStr">
        <is>
          <t>Blocks</t>
        </is>
      </c>
      <c r="F5" s="4" t="inlineStr">
        <is>
          <t>Status</t>
        </is>
      </c>
      <c r="G5" s="4" t="inlineStr">
        <is>
          <t>Needed by</t>
        </is>
      </c>
    </row>
    <row r="6">
      <c r="A6" s="7" t="inlineStr">
        <is>
          <t>Q-15</t>
        </is>
      </c>
      <c r="B6" s="7" t="inlineStr">
        <is>
          <t>Starter content pack: ship it, or only on a demo tenant?</t>
        </is>
      </c>
      <c r="C6" s="7" t="inlineStr">
        <is>
          <t>KONSTRYX ships masters, a sample project and the canonical RR thread to every tenant. Useful on an evaluation tenant in front of a starter S/4; actively harmful on a customer system, where it puts rows nothing can cleanly remove and - now that release pushes on its own - possibly documents in their S/4. Three shipped-data failures this build all reduce to the same disease: the pack asserted a relationship with a system it had never seen</t>
        </is>
      </c>
      <c r="D6" s="7" t="inlineStr">
        <is>
          <t>Detect a starter system / declare a contentProfile at subscription (recommended, default CLEAN) / ask on first run. Detection rejected: inferring it from company code 1710 is the same species of guess that produced the profit-centre bug. See docs/ARCHITECTURE_TENANT_CONTENT.md</t>
        </is>
      </c>
      <c r="E6" s="7" t="inlineStr">
        <is>
          <t>Content pack strategy; whether demo content needs to be removable at all</t>
        </is>
      </c>
      <c r="F6" s="10" t="inlineStr">
        <is>
          <t>Open</t>
        </is>
      </c>
      <c r="G6" s="7" t="inlineStr">
        <is>
          <t>Before the first customer tenant</t>
        </is>
      </c>
    </row>
    <row r="7">
      <c r="A7" s="7" t="inlineStr">
        <is>
          <t>Q-01</t>
        </is>
      </c>
      <c r="B7" s="7" t="inlineStr">
        <is>
          <t>Document number ranges: per company or group-global?</t>
        </is>
      </c>
      <c r="C7" s="7" t="inlineStr">
        <is>
          <t>ANSWERED: configurable per object. Built and verified both scopes</t>
        </is>
      </c>
      <c r="D7" s="7" t="inlineStr">
        <is>
          <t>—</t>
        </is>
      </c>
      <c r="E7" s="7" t="inlineStr">
        <is>
          <t>—</t>
        </is>
      </c>
      <c r="F7" s="11" t="inlineStr">
        <is>
          <t>Closed</t>
        </is>
      </c>
      <c r="G7" s="7" t="inlineStr">
        <is>
          <t>Answered 2026-08-15</t>
        </is>
      </c>
    </row>
    <row r="8">
      <c r="A8" s="7" t="inlineStr">
        <is>
          <t>Q-13</t>
        </is>
      </c>
      <c r="B8" s="7" t="inlineStr">
        <is>
          <t>Where does KONSTRYX surface — Work Zone or the S/4 launchpad?</t>
        </is>
      </c>
      <c r="C8" s="7" t="inlineStr">
        <is>
          <t>ANSWERED: Option A, S/4's own launchpad. See D-16</t>
        </is>
      </c>
      <c r="D8" s="7" t="inlineStr">
        <is>
          <t>—</t>
        </is>
      </c>
      <c r="E8" s="7" t="inlineStr">
        <is>
          <t>—</t>
        </is>
      </c>
      <c r="F8" s="11" t="inlineStr">
        <is>
          <t>Closed</t>
        </is>
      </c>
      <c r="G8" s="7" t="inlineStr">
        <is>
          <t>Answered 2026-08-15</t>
        </is>
      </c>
    </row>
    <row r="9">
      <c r="A9" s="7" t="inlineStr">
        <is>
          <t>Q-14</t>
        </is>
      </c>
      <c r="B9" s="7" t="inlineStr">
        <is>
          <t>Does numbering need to be gap-free for audit?</t>
        </is>
      </c>
      <c r="C9" s="7" t="inlineStr">
        <is>
          <t>ANSWERED 2026-08-17: gaps are acceptable provided a valid audit log is available — a cancelled document leaving a gap is fine. Current behaviour (numbers issued on activation, abandoned drafts consume nothing) therefore stands; the audit log is the control, not the sequence</t>
        </is>
      </c>
      <c r="D9" s="7" t="inlineStr">
        <is>
          <t>—</t>
        </is>
      </c>
      <c r="E9" s="7" t="inlineStr">
        <is>
          <t>—</t>
        </is>
      </c>
      <c r="F9" s="11" t="inlineStr">
        <is>
          <t>Closed</t>
        </is>
      </c>
      <c r="G9" s="7" t="inlineStr">
        <is>
          <t>Answered 2026-08-17</t>
        </is>
      </c>
    </row>
    <row r="10">
      <c r="A10" s="7" t="inlineStr">
        <is>
          <t>Q-02</t>
        </is>
      </c>
      <c r="B10" s="7" t="inlineStr">
        <is>
          <t>What is in the EC&amp;O starter content pack?</t>
        </is>
      </c>
      <c r="C10" s="7" t="inlineStr">
        <is>
          <t>ANSWERED 2026-08-17: the masters and a sample transaction exactly as they appear in the wireframe today, end to end and demo-ready — not a curated subset. The wireframe's own data is the pack</t>
        </is>
      </c>
      <c r="D10" s="7" t="inlineStr">
        <is>
          <t>—</t>
        </is>
      </c>
      <c r="E10" s="7" t="inlineStr">
        <is>
          <t>—</t>
        </is>
      </c>
      <c r="F10" s="11" t="inlineStr">
        <is>
          <t>Closed</t>
        </is>
      </c>
      <c r="G10" s="7" t="inlineStr">
        <is>
          <t>Answered 2026-08-17</t>
        </is>
      </c>
    </row>
    <row r="11">
      <c r="A11" s="7" t="inlineStr">
        <is>
          <t>Q-03</t>
        </is>
      </c>
      <c r="B11" s="7" t="inlineStr">
        <is>
          <t>Approval schemes: who approves what, at which value bands?</t>
        </is>
      </c>
      <c r="C11" s="7" t="inlineStr">
        <is>
          <t>ANSWERED 2026-08-17: confirmed — keep the shipped thresholds (Budget 100k/1m, Resource Request 250k/1m) as they stand. Approver personas remain unnamed and configurable in-app</t>
        </is>
      </c>
      <c r="D11" s="7" t="inlineStr">
        <is>
          <t>—</t>
        </is>
      </c>
      <c r="E11" s="7" t="inlineStr">
        <is>
          <t>—</t>
        </is>
      </c>
      <c r="F11" s="11" t="inlineStr">
        <is>
          <t>Closed</t>
        </is>
      </c>
      <c r="G11" s="7" t="inlineStr">
        <is>
          <t>Answered 2026-08-17</t>
        </is>
      </c>
    </row>
    <row r="12">
      <c r="A12" s="7" t="inlineStr">
        <is>
          <t>Q-04</t>
        </is>
      </c>
      <c r="B12" s="7" t="inlineStr">
        <is>
          <t>Attachment storage: SAP Object Store or HANA LOB?</t>
        </is>
      </c>
      <c r="C12" s="7" t="inlineStr">
        <is>
          <t>ANSWERED 2026-08-17: neither as a fixed choice — attachments get a configuration that can point at any DMS. Storage becomes a per-tenant setting rather than a build-time decision, which supersedes the Object Store vs HANA LOB framing</t>
        </is>
      </c>
      <c r="D12" s="7" t="inlineStr">
        <is>
          <t>—</t>
        </is>
      </c>
      <c r="E12" s="7" t="inlineStr">
        <is>
          <t>F-04 — needs rework to a configurable DMS target</t>
        </is>
      </c>
      <c r="F12" s="11" t="inlineStr">
        <is>
          <t>Closed</t>
        </is>
      </c>
      <c r="G12" s="7" t="inlineStr">
        <is>
          <t>Answered 2026-08-17</t>
        </is>
      </c>
    </row>
    <row r="13">
      <c r="A13" s="7" t="inlineStr">
        <is>
          <t>Q-05</t>
        </is>
      </c>
      <c r="B13" s="7" t="inlineStr">
        <is>
          <t>The canonical demo numbers do not reconcile</t>
        </is>
      </c>
      <c r="C13" s="7" t="inlineStr">
        <is>
          <t>ANSWERED 2026-08-17: correct the header to 685,080 — the line values and the per-WBS commitment split are right, the header was wrong. The L1 rate question falls away with it</t>
        </is>
      </c>
      <c r="D13" s="7" t="inlineStr">
        <is>
          <t>—</t>
        </is>
      </c>
      <c r="E13" s="7" t="inlineStr">
        <is>
          <t>—</t>
        </is>
      </c>
      <c r="F13" s="11" t="inlineStr">
        <is>
          <t>Closed</t>
        </is>
      </c>
      <c r="G13" s="7" t="inlineStr">
        <is>
          <t>Answered 2026-08-17</t>
        </is>
      </c>
    </row>
    <row r="14">
      <c r="A14" s="7" t="inlineStr">
        <is>
          <t>Q-06</t>
        </is>
      </c>
      <c r="B14" s="7" t="inlineStr">
        <is>
          <t>BOQ import template — confirm the column set</t>
        </is>
      </c>
      <c r="C14" s="7" t="inlineStr">
        <is>
          <t>ANSWERED 2026-08-17: there is no single template to build to. Bills arrive from different estimating tools — Candy, RAI and others — so the importer must be flexible: a mappable column set per source rather than one fixed contract. This changes the shape of B-04, which was scoped to import a known template</t>
        </is>
      </c>
      <c r="D14" s="7" t="inlineStr">
        <is>
          <t>—</t>
        </is>
      </c>
      <c r="E14" s="7" t="inlineStr">
        <is>
          <t>B-04 Uploads — needs rescoping to a per-source column mapping</t>
        </is>
      </c>
      <c r="F14" s="11" t="inlineStr">
        <is>
          <t>Closed</t>
        </is>
      </c>
      <c r="G14" s="7" t="inlineStr">
        <is>
          <t>Answered 2026-08-17</t>
        </is>
      </c>
    </row>
    <row r="15">
      <c r="A15" s="7" t="inlineStr">
        <is>
          <t>Q-07</t>
        </is>
      </c>
      <c r="B15" s="7" t="inlineStr">
        <is>
          <t>CBS instance versioning: copy-on-create or live reference to the library?</t>
        </is>
      </c>
      <c r="C15" s="7" t="inlineStr">
        <is>
          <t>Open item in Data Model Spec section 10. Affects whether library changes propagate into running projects</t>
        </is>
      </c>
      <c r="D15" s="7" t="inlineStr">
        <is>
          <t>Copy-on-create (proposed) / live reference</t>
        </is>
      </c>
      <c r="E15" s="7" t="inlineStr">
        <is>
          <t>B-01, B-03</t>
        </is>
      </c>
      <c r="F15" s="10" t="inlineStr">
        <is>
          <t>Open</t>
        </is>
      </c>
      <c r="G15" s="7" t="inlineStr">
        <is>
          <t>Before Project Setup</t>
        </is>
      </c>
    </row>
    <row r="16">
      <c r="A16" s="7" t="inlineStr">
        <is>
          <t>Q-08</t>
        </is>
      </c>
      <c r="B16" s="7" t="inlineStr">
        <is>
          <t>Encumbrance currency: company currency or group reporting currency?</t>
        </is>
      </c>
      <c r="C16" s="7" t="inlineStr">
        <is>
          <t>ANSWERED 2026-08-17: both — the encumbrance is held in company currency and also carried at group reporting currency, not one or the other. Budget lines and ledger entries are single-currency today, so this needs a second amount (or a conversion at read) before group-level budget reporting is honest</t>
        </is>
      </c>
      <c r="D16" s="7" t="inlineStr">
        <is>
          <t>—</t>
        </is>
      </c>
      <c r="E16" s="7" t="inlineStr">
        <is>
          <t>B-06 Budgeting — the budget ledger carries one amount today; dual currency is not built</t>
        </is>
      </c>
      <c r="F16" s="11" t="inlineStr">
        <is>
          <t>Closed</t>
        </is>
      </c>
      <c r="G16" s="7" t="inlineStr">
        <is>
          <t>Answered 2026-08-17</t>
        </is>
      </c>
    </row>
    <row r="17">
      <c r="A17" s="7" t="inlineStr">
        <is>
          <t>Q-09p</t>
        </is>
      </c>
      <c r="B17" s="7" t="inlineStr">
        <is>
          <t>S/4 sandbox tenant - RESOLVED for projects</t>
        </is>
      </c>
      <c r="C17" s="7" t="inlineStr">
        <is>
          <t>Communication user + arrangements SAP_COM_0308/0008 active. The connector ran live: KX-S4-001 created in the tenant from KONSTRYX through release -&gt; sync, confirmed by an independent read (profile YP05). WBS element read-back also confirmed: A_EnterpriseProject is keyed by ProjectUUID (a GUID), not the Project string — once read with the correct key, to_EnterpriseProjectElement returns both elements (the auto-created root KX-S4-001 and the pushed KX-S4-001.1 'Enabling works'). Remaining: the other scenarios (procurement, finance) as their modules need them</t>
        </is>
      </c>
      <c r="D17" s="7" t="inlineStr">
        <is>
          <t>Rotate the credential that transited chat transcripts when convenient; move to a BTP destination at deployment</t>
        </is>
      </c>
      <c r="E17" s="7" t="inlineStr">
        <is>
          <t>S/4 connector - project scenario DONE, incl. WBS read-back</t>
        </is>
      </c>
      <c r="F17" s="11" t="inlineStr">
        <is>
          <t>Closed</t>
        </is>
      </c>
      <c r="G17" s="7" t="inlineStr">
        <is>
          <t>2026-08-16</t>
        </is>
      </c>
    </row>
    <row r="18">
      <c r="A18" s="7" t="inlineStr">
        <is>
          <t>Q-09</t>
        </is>
      </c>
      <c r="B18" s="7" t="inlineStr">
        <is>
          <t>S/4 dev tenant — what is actually needed (merges the old S-15)</t>
        </is>
      </c>
      <c r="C18" s="7" t="inlineStr">
        <is>
          <t>ANSWERED 2026-08-17: already shared — the sandbox tenant with its communication user, and SAP_COM_0308/0008 active. Proven live by the project connector (see Q-09p). What remains is per-scenario, not per-tenant: the procurement arrangements (SAP_COM_0053 for the requisition, SAP_COM_0193 for the order) need activating before the PR push can be tested</t>
        </is>
      </c>
      <c r="D18" s="7" t="inlineStr">
        <is>
          <t>—</t>
        </is>
      </c>
      <c r="E18" s="7" t="inlineStr">
        <is>
          <t>Project sync done; procurement arrangements still to activate</t>
        </is>
      </c>
      <c r="F18" s="11" t="inlineStr">
        <is>
          <t>Closed</t>
        </is>
      </c>
      <c r="G18" s="7" t="inlineStr">
        <is>
          <t>Answered 2026-08-17</t>
        </is>
      </c>
    </row>
    <row r="19">
      <c r="A19" s="7" t="inlineStr">
        <is>
          <t>Q-10</t>
        </is>
      </c>
      <c r="B19" s="7" t="inlineStr">
        <is>
          <t>Scope re-baseline: personalization + attachments + approvals on every screen</t>
        </is>
      </c>
      <c r="C19" s="7" t="inlineStr">
        <is>
          <t>Wireframe v12 is 41 modules / 434 screens. The 22-week MVP plan with 1 UI5 developer does not carry this</t>
        </is>
      </c>
      <c r="D19" s="7" t="inlineStr">
        <is>
          <t>Re-baseline the plan / reduce MVP screen scope / add UI capacity</t>
        </is>
      </c>
      <c r="E19" s="7" t="inlineStr">
        <is>
          <t>Overall plan credibility</t>
        </is>
      </c>
      <c r="F19" s="10" t="inlineStr">
        <is>
          <t>Open</t>
        </is>
      </c>
      <c r="G19" s="7" t="inlineStr">
        <is>
          <t>Before committing a client date</t>
        </is>
      </c>
    </row>
    <row r="20">
      <c r="A20" s="7" t="inlineStr">
        <is>
          <t>Q-11</t>
        </is>
      </c>
      <c r="B20" s="7" t="inlineStr">
        <is>
          <t>UI5 production delivery: how is the app served in Cloud Foundry?</t>
        </is>
      </c>
      <c r="C20" s="7" t="inlineStr">
        <is>
          <t>mta.yaml has no approuter and no UI module today, and the app bootstraps from a local runtime path</t>
        </is>
      </c>
      <c r="D20" s="7" t="inlineStr">
        <is>
          <t>Approuter + HTML5 repo (standard) / other</t>
        </is>
      </c>
      <c r="E20" s="7" t="inlineStr">
        <is>
          <t>D-01</t>
        </is>
      </c>
      <c r="F20" s="10" t="inlineStr">
        <is>
          <t>Open</t>
        </is>
      </c>
      <c r="G20" s="7" t="inlineStr">
        <is>
          <t>Before first CF deploy</t>
        </is>
      </c>
    </row>
    <row r="21">
      <c r="A21" s="7" t="inlineStr">
        <is>
          <t>Q-12</t>
        </is>
      </c>
      <c r="B21" s="7" t="inlineStr">
        <is>
          <t>CI/CD tooling</t>
        </is>
      </c>
      <c r="C21" s="7" t="inlineStr">
        <is>
          <t>Prerequisite 4 in the phase plan, still undecided</t>
        </is>
      </c>
      <c r="D21" s="7" t="inlineStr">
        <is>
          <t>SAP CI/CD service / GitHub Actions / Azure DevOps</t>
        </is>
      </c>
      <c r="E21" s="7" t="inlineStr">
        <is>
          <t>D-03</t>
        </is>
      </c>
      <c r="F21" s="10" t="inlineStr">
        <is>
          <t>Open</t>
        </is>
      </c>
      <c r="G21" s="7" t="inlineStr">
        <is>
          <t>Before team scales up</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showGridLines="0" workbookViewId="0">
      <pane ySplit="5" topLeftCell="A6" activePane="bottomLeft" state="frozen"/>
      <selection pane="bottomLeft" activeCell="A1" sqref="A1"/>
    </sheetView>
  </sheetViews>
  <sheetFormatPr baseColWidth="8" defaultRowHeight="15"/>
  <cols>
    <col width="5" customWidth="1" min="1" max="1"/>
    <col width="30" customWidth="1" min="2" max="2"/>
    <col width="62" customWidth="1" min="3" max="3"/>
    <col width="66" customWidth="1" min="4" max="4"/>
    <col width="26" customWidth="1" min="5" max="5"/>
    <col width="13" customWidth="1" min="6" max="6"/>
  </cols>
  <sheetData>
    <row r="1" ht="20" customHeight="1">
      <c r="A1" s="1" t="inlineStr">
        <is>
          <t>Planned build sequence</t>
        </is>
      </c>
    </row>
    <row r="2">
      <c r="A2" s="2" t="inlineStr">
        <is>
          <t>Your order, with two platform items inserted first because every module inherits them</t>
        </is>
      </c>
    </row>
    <row r="5" ht="28" customHeight="1">
      <c r="A5" s="4" t="inlineStr">
        <is>
          <t>#</t>
        </is>
      </c>
      <c r="B5" s="4" t="inlineStr">
        <is>
          <t>Block</t>
        </is>
      </c>
      <c r="C5" s="4" t="inlineStr">
        <is>
          <t>Contents</t>
        </is>
      </c>
      <c r="D5" s="4" t="inlineStr">
        <is>
          <t>Why here</t>
        </is>
      </c>
      <c r="E5" s="4" t="inlineStr">
        <is>
          <t>Depends on</t>
        </is>
      </c>
      <c r="F5" s="4" t="inlineStr">
        <is>
          <t>Status</t>
        </is>
      </c>
    </row>
    <row r="6">
      <c r="A6" s="7" t="n">
        <v>1</v>
      </c>
      <c r="B6" s="7" t="inlineStr">
        <is>
          <t>Authorization enforcement</t>
        </is>
      </c>
      <c r="C6" s="7" t="inlineStr">
        <is>
          <t>Runtime handler applying configured grants + instance filtering</t>
        </is>
      </c>
      <c r="D6" s="7" t="inlineStr">
        <is>
          <t>Every screen inherits it; retrofitting enforcement after screens exist is where products go wrong</t>
        </is>
      </c>
      <c r="E6" s="7" t="inlineStr">
        <is>
          <t>—</t>
        </is>
      </c>
      <c r="F6" s="8" t="inlineStr">
        <is>
          <t>Done</t>
        </is>
      </c>
    </row>
    <row r="7">
      <c r="A7" s="7" t="n">
        <v>2</v>
      </c>
      <c r="B7" s="7" t="inlineStr">
        <is>
          <t>Document number ranges</t>
        </is>
      </c>
      <c r="C7" s="7" t="inlineStr">
        <is>
          <t>Configurable scope (GLOBAL/COMPANY) and pattern per object; issued on activation</t>
        </is>
      </c>
      <c r="D7" s="7" t="inlineStr">
        <is>
          <t>Every document module needs it; changing the scheme later means renumbering live data</t>
        </is>
      </c>
      <c r="E7" s="7" t="inlineStr">
        <is>
          <t>Q-01 (answered)</t>
        </is>
      </c>
      <c r="F7" s="8" t="inlineStr">
        <is>
          <t>Done</t>
        </is>
      </c>
    </row>
    <row r="8">
      <c r="A8" s="7" t="inlineStr">
        <is>
          <t>2b</t>
        </is>
      </c>
      <c r="B8" s="7" t="inlineStr">
        <is>
          <t>Launchpad-hosted shell</t>
        </is>
      </c>
      <c r="C8" s="7" t="inlineStr">
        <is>
          <t>Strip the app's own ToolPage chrome; FLP sandbox with Spaces and Pages for local dev</t>
        </is>
      </c>
      <c r="D8" s="7" t="inlineStr">
        <is>
          <t>Blend with S/4HANA. Doing this before the screen count grows avoids stripping the shell out of every screen later</t>
        </is>
      </c>
      <c r="E8" s="7" t="inlineStr">
        <is>
          <t>Q-13</t>
        </is>
      </c>
      <c r="F8" s="7" t="inlineStr">
        <is>
          <t>Not started</t>
        </is>
      </c>
    </row>
    <row r="9">
      <c r="A9" s="7" t="n">
        <v>3</v>
      </c>
      <c r="B9" s="7" t="inlineStr">
        <is>
          <t>Masters</t>
        </is>
      </c>
      <c r="C9" s="7" t="inlineStr">
        <is>
          <t>Resource hierarchy, CBS library, rates, vendors, scoped GROUP/COMPANY + promotion queue</t>
        </is>
      </c>
      <c r="D9" s="7" t="inlineStr">
        <is>
          <t>Your sequence. Everything downstream references master codes</t>
        </is>
      </c>
      <c r="E9" s="7" t="inlineStr">
        <is>
          <t>Q-01, Q-02</t>
        </is>
      </c>
      <c r="F9" s="7" t="inlineStr">
        <is>
          <t>Not started</t>
        </is>
      </c>
    </row>
    <row r="10">
      <c r="A10" s="7" t="n">
        <v>4</v>
      </c>
      <c r="B10" s="7" t="inlineStr">
        <is>
          <t>Templates</t>
        </is>
      </c>
      <c r="C10" s="7" t="inlineStr">
        <is>
          <t>Project templates: CBS tree + default resources</t>
        </is>
      </c>
      <c r="D10" s="7" t="inlineStr">
        <is>
          <t>Your sequence. Templates are composed of masters</t>
        </is>
      </c>
      <c r="E10" s="7" t="inlineStr">
        <is>
          <t>Masters</t>
        </is>
      </c>
      <c r="F10" s="7" t="inlineStr">
        <is>
          <t>Not started</t>
        </is>
      </c>
    </row>
    <row r="11">
      <c r="A11" s="7" t="n">
        <v>5</v>
      </c>
      <c r="B11" s="7" t="inlineStr">
        <is>
          <t>Project Setup</t>
        </is>
      </c>
      <c r="C11" s="7" t="inlineStr">
        <is>
          <t>Project, WBS, CBS instance, S/4 Enterprise Project mirror</t>
        </is>
      </c>
      <c r="D11" s="7" t="inlineStr">
        <is>
          <t>Your sequence. Instantiates a template</t>
        </is>
      </c>
      <c r="E11" s="7" t="inlineStr">
        <is>
          <t>Templates, Q-07, Q-09</t>
        </is>
      </c>
      <c r="F11" s="7" t="inlineStr">
        <is>
          <t>Not started</t>
        </is>
      </c>
    </row>
    <row r="12">
      <c r="A12" s="7" t="n">
        <v>6</v>
      </c>
      <c r="B12" s="7" t="inlineStr">
        <is>
          <t>Uploads</t>
        </is>
      </c>
      <c r="C12" s="7" t="inlineStr">
        <is>
          <t>BOQ import, estimate import, versioning with progress carry-forward</t>
        </is>
      </c>
      <c r="D12" s="7" t="inlineStr">
        <is>
          <t>Your sequence. Needs a project to import into. Highest-risk item in the plan</t>
        </is>
      </c>
      <c r="E12" s="7" t="inlineStr">
        <is>
          <t>Project Setup, Q-04, Q-06</t>
        </is>
      </c>
      <c r="F12" s="7" t="inlineStr">
        <is>
          <t>Not started</t>
        </is>
      </c>
    </row>
    <row r="13">
      <c r="A13" s="7" t="n">
        <v>7</v>
      </c>
      <c r="B13" s="7" t="inlineStr">
        <is>
          <t>Project Planning</t>
        </is>
      </c>
      <c r="C13" s="7" t="inlineStr">
        <is>
          <t>Activity layer, native entity + P6 adapter</t>
        </is>
      </c>
      <c r="D13" s="7" t="inlineStr">
        <is>
          <t>Your sequence. Activities hang off WBS</t>
        </is>
      </c>
      <c r="E13" s="7" t="inlineStr">
        <is>
          <t>Project Setup</t>
        </is>
      </c>
      <c r="F13" s="7" t="inlineStr">
        <is>
          <t>Not started</t>
        </is>
      </c>
    </row>
    <row r="14">
      <c r="A14" s="7" t="n">
        <v>8</v>
      </c>
      <c r="B14" s="7" t="inlineStr">
        <is>
          <t>Budgeting</t>
        </is>
      </c>
      <c r="C14" s="7" t="inlineStr">
        <is>
          <t>Budget from BOQ/CBS, 4-category ledger, approval, baseline, encumbrance</t>
        </is>
      </c>
      <c r="D14" s="7" t="inlineStr">
        <is>
          <t>Your sequence. Needs BOQ and CBS to exist</t>
        </is>
      </c>
      <c r="E14" s="7" t="inlineStr">
        <is>
          <t>Uploads, Q-03, Q-08</t>
        </is>
      </c>
      <c r="F14" s="7" t="inlineStr">
        <is>
          <t>Not started</t>
        </is>
      </c>
    </row>
    <row r="15">
      <c r="A15" s="7" t="n">
        <v>9</v>
      </c>
      <c r="B15" s="7" t="inlineStr">
        <is>
          <t>Project Execution</t>
        </is>
      </c>
      <c r="C15" s="7" t="inlineStr">
        <is>
          <t>RR-&gt;CLS chain end to end, material + manpower, chain steps 5-10</t>
        </is>
      </c>
      <c r="D15" s="7" t="inlineStr">
        <is>
          <t>Your sequence. Consumes budget; encumbrance must exist first</t>
        </is>
      </c>
      <c r="E15" s="7" t="inlineStr">
        <is>
          <t>Budgeting</t>
        </is>
      </c>
      <c r="F15" s="7" t="inlineStr">
        <is>
          <t>Not started</t>
        </is>
      </c>
    </row>
    <row r="16">
      <c r="A16" s="7" t="n">
        <v>10</v>
      </c>
      <c r="B16" s="7" t="inlineStr">
        <is>
          <t>Project Commercial</t>
        </is>
      </c>
      <c r="C16" s="7" t="inlineStr">
        <is>
          <t>Client billing, variations, payment certificates</t>
        </is>
      </c>
      <c r="D16" s="7" t="inlineStr">
        <is>
          <t>Your sequence. Bills against executed work</t>
        </is>
      </c>
      <c r="E16" s="7" t="inlineStr">
        <is>
          <t>Execution</t>
        </is>
      </c>
      <c r="F16" s="7" t="inlineStr">
        <is>
          <t>Not started</t>
        </is>
      </c>
    </row>
    <row r="17">
      <c r="A17" s="7" t="n">
        <v>11</v>
      </c>
      <c r="B17" s="7" t="inlineStr">
        <is>
          <t>Plant Department</t>
        </is>
      </c>
      <c r="C17" s="7" t="inlineStr">
        <is>
          <t>Equipment, fleet, scaffolding/formwork</t>
        </is>
      </c>
      <c r="D17" s="7" t="inlineStr">
        <is>
          <t>Your sequence — explicitly after the core</t>
        </is>
      </c>
      <c r="E17" s="7" t="inlineStr">
        <is>
          <t>Execution</t>
        </is>
      </c>
      <c r="F17" s="7" t="inlineStr">
        <is>
          <t>Not started</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1"/>
  <sheetViews>
    <sheetView showGridLines="0" workbookViewId="0">
      <pane ySplit="5" topLeftCell="A6" activePane="bottomLeft" state="frozen"/>
      <selection pane="bottomLeft" activeCell="A1" sqref="A1"/>
    </sheetView>
  </sheetViews>
  <sheetFormatPr baseColWidth="8" defaultRowHeight="15"/>
  <cols>
    <col width="8" customWidth="1" min="1" max="1"/>
    <col width="16" customWidth="1" min="2" max="2"/>
    <col width="44" customWidth="1" min="3" max="3"/>
    <col width="62" customWidth="1" min="4" max="4"/>
    <col width="52" customWidth="1" min="5" max="5"/>
    <col width="12" customWidth="1" min="6" max="6"/>
    <col width="12" customWidth="1" min="7" max="7"/>
  </cols>
  <sheetData>
    <row r="1" ht="20" customHeight="1">
      <c r="A1" s="1" t="inlineStr">
        <is>
          <t>Suggestions and flags raised during the build</t>
        </is>
      </c>
    </row>
    <row r="2">
      <c r="A2" s="2" t="inlineStr">
        <is>
          <t>Everything recommended or warned about, kept in one place for review. Nothing here is decided.</t>
        </is>
      </c>
    </row>
    <row r="5" ht="28" customHeight="1">
      <c r="A5" s="4" t="inlineStr">
        <is>
          <t>ID</t>
        </is>
      </c>
      <c r="B5" s="4" t="inlineStr">
        <is>
          <t>Area</t>
        </is>
      </c>
      <c r="C5" s="4" t="inlineStr">
        <is>
          <t>Suggestion or flag</t>
        </is>
      </c>
      <c r="D5" s="4" t="inlineStr">
        <is>
          <t>Why it matters</t>
        </is>
      </c>
      <c r="E5" s="4" t="inlineStr">
        <is>
          <t>My recommendation</t>
        </is>
      </c>
      <c r="F5" s="4" t="inlineStr">
        <is>
          <t>Status</t>
        </is>
      </c>
      <c r="G5" s="4" t="inlineStr">
        <is>
          <t>Raised</t>
        </is>
      </c>
    </row>
    <row r="6">
      <c r="A6" s="7" t="inlineStr">
        <is>
          <t>S-01</t>
        </is>
      </c>
      <c r="B6" s="7" t="inlineStr">
        <is>
          <t>Plan</t>
        </is>
      </c>
      <c r="C6" s="7" t="inlineStr">
        <is>
          <t>Re-baseline the MVP estimate</t>
        </is>
      </c>
      <c r="D6" s="7" t="inlineStr">
        <is>
          <t>Personalization, attachments and approvals apply to every object. Wireframe v12 is 41 modules / 434 screens; the 22-week plan with one UI5 developer does not carry that layer</t>
        </is>
      </c>
      <c r="E6" s="7" t="inlineStr">
        <is>
          <t>Re-baseline before any client date is committed, or cut MVP screen scope</t>
        </is>
      </c>
      <c r="F6" s="10" t="inlineStr">
        <is>
          <t>Open</t>
        </is>
      </c>
      <c r="G6" s="7" t="inlineStr">
        <is>
          <t>2026-08-15</t>
        </is>
      </c>
    </row>
    <row r="7">
      <c r="A7" s="7" t="inlineStr">
        <is>
          <t>S-02</t>
        </is>
      </c>
      <c r="B7" s="7" t="inlineStr">
        <is>
          <t>Architecture</t>
        </is>
      </c>
      <c r="C7" s="7" t="inlineStr">
        <is>
          <t>Revisit tenancy once client count grows</t>
        </is>
      </c>
      <c r="D7" s="7" t="inlineStr">
        <is>
          <t>Dedicated deployment means N upgrades for N clients. The model is tenancy-neutral so the switch is cheap now and costly per live client later</t>
        </is>
      </c>
      <c r="E7" s="7" t="inlineStr">
        <is>
          <t>Revisit at 5-10 clients; decide before the first go-live, not after</t>
        </is>
      </c>
      <c r="F7" s="10" t="inlineStr">
        <is>
          <t>Open</t>
        </is>
      </c>
      <c r="G7" s="7" t="inlineStr">
        <is>
          <t>2026-08-15</t>
        </is>
      </c>
    </row>
    <row r="8">
      <c r="A8" s="7" t="inlineStr">
        <is>
          <t>S-03</t>
        </is>
      </c>
      <c r="B8" s="7" t="inlineStr">
        <is>
          <t>UI</t>
        </is>
      </c>
      <c r="C8" s="7" t="inlineStr">
        <is>
          <t>Split into task-focused apps per document type</t>
        </is>
      </c>
      <c r="D8" s="7" t="inlineStr">
        <is>
          <t>S/4 surfaces one app per task, reached from a tile. KONSTRYX is currently one app with in-app routing across ten document types</t>
        </is>
      </c>
      <c r="E8" s="7" t="inlineStr">
        <is>
          <t>Split as screens are built; register an intent per app</t>
        </is>
      </c>
      <c r="F8" s="10" t="inlineStr">
        <is>
          <t>Open</t>
        </is>
      </c>
      <c r="G8" s="7" t="inlineStr">
        <is>
          <t>2026-08-15</t>
        </is>
      </c>
    </row>
    <row r="9">
      <c r="A9" s="7" t="inlineStr">
        <is>
          <t>S-04</t>
        </is>
      </c>
      <c r="B9" s="7" t="inlineStr">
        <is>
          <t>Deployment</t>
        </is>
      </c>
      <c r="C9" s="7" t="inlineStr">
        <is>
          <t>Move the UI to the HTML5 application repository</t>
        </is>
      </c>
      <c r="D9" s="7" t="inlineStr">
        <is>
          <t>The approuter currently routes the UI through the Java service, which is fine for one app but wrong for scaling and caching</t>
        </is>
      </c>
      <c r="E9" s="7" t="inlineStr">
        <is>
          <t>Move when the app splits into several apps</t>
        </is>
      </c>
      <c r="F9" s="10" t="inlineStr">
        <is>
          <t>Open</t>
        </is>
      </c>
      <c r="G9" s="7" t="inlineStr">
        <is>
          <t>2026-08-15</t>
        </is>
      </c>
    </row>
    <row r="10">
      <c r="A10" s="7" t="inlineStr">
        <is>
          <t>S-05</t>
        </is>
      </c>
      <c r="B10" s="7" t="inlineStr">
        <is>
          <t>Authorization</t>
        </is>
      </c>
      <c r="C10" s="7" t="inlineStr">
        <is>
          <t>Validate declared auth paths at startup</t>
        </is>
      </c>
      <c r="D10" s="7" t="inlineStr">
        <is>
          <t>A path that does not resolve on a projection fails per request with a 500 instead of at boot. That is exactly how the RequestOverview outage happened</t>
        </is>
      </c>
      <c r="E10" s="7" t="inlineStr">
        <is>
          <t>Add a startup check over the catalogue against the model</t>
        </is>
      </c>
      <c r="F10" s="10" t="inlineStr">
        <is>
          <t>Open</t>
        </is>
      </c>
      <c r="G10" s="7" t="inlineStr">
        <is>
          <t>2026-08-15</t>
        </is>
      </c>
    </row>
    <row r="11">
      <c r="A11" s="7" t="inlineStr">
        <is>
          <t>S-06</t>
        </is>
      </c>
      <c r="B11" s="7" t="inlineStr">
        <is>
          <t>Local dev</t>
        </is>
      </c>
      <c r="C11" s="7" t="inlineStr">
        <is>
          <t>H2 is in-memory - nothing survives a restart</t>
        </is>
      </c>
      <c r="D11" s="7" t="inlineStr">
        <is>
          <t>Promotion requests, drafts and anything created during a demo are lost when the service restarts. Seed fixtures reload; transactional work does not</t>
        </is>
      </c>
      <c r="E11" s="7" t="inlineStr">
        <is>
          <t>Make H2 file-backed, or point local dev at HANA Cloud, before any live demo</t>
        </is>
      </c>
      <c r="F11" s="10" t="inlineStr">
        <is>
          <t>Open</t>
        </is>
      </c>
      <c r="G11" s="7" t="inlineStr">
        <is>
          <t>2026-08-15</t>
        </is>
      </c>
    </row>
    <row r="12">
      <c r="A12" s="7" t="inlineStr">
        <is>
          <t>S-07</t>
        </is>
      </c>
      <c r="B12" s="7" t="inlineStr">
        <is>
          <t>Build</t>
        </is>
      </c>
      <c r="C12" s="7" t="inlineStr">
        <is>
          <t>Run npm install after every mbt build</t>
        </is>
      </c>
      <c r="D12" s="7" t="inlineStr">
        <is>
          <t>The MTA build prunes devDependencies at the root, removing @sap/cds-dk, and the next Maven build fails with 'cds' is not recognized</t>
        </is>
      </c>
      <c r="E12" s="7" t="inlineStr">
        <is>
          <t>Add it to the build script or CI pipeline</t>
        </is>
      </c>
      <c r="F12" s="10" t="inlineStr">
        <is>
          <t>Open</t>
        </is>
      </c>
      <c r="G12" s="7" t="inlineStr">
        <is>
          <t>2026-08-15</t>
        </is>
      </c>
    </row>
    <row r="13">
      <c r="A13" s="7" t="inlineStr">
        <is>
          <t>S-08</t>
        </is>
      </c>
      <c r="B13" s="7" t="inlineStr">
        <is>
          <t>Quality</t>
        </is>
      </c>
      <c r="C13" s="7" t="inlineStr">
        <is>
          <t>Verify UI work visually, not through the DOM</t>
        </is>
      </c>
      <c r="D13" s="7" t="inlineStr">
        <is>
          <t>DOM text, network traces and per-element geometry all reported success while the screen was blank for an hour. Only a screenshot and an ancestor-chain walk found it</t>
        </is>
      </c>
      <c r="E13" s="7" t="inlineStr">
        <is>
          <t>Screenshot every UI change; measure ancestors, not the element</t>
        </is>
      </c>
      <c r="F13" s="8" t="inlineStr">
        <is>
          <t>Adopted</t>
        </is>
      </c>
      <c r="G13" s="7" t="inlineStr">
        <is>
          <t>2026-08-15</t>
        </is>
      </c>
    </row>
    <row r="14">
      <c r="A14" s="7" t="inlineStr">
        <is>
          <t>S-09</t>
        </is>
      </c>
      <c r="B14" s="7" t="inlineStr">
        <is>
          <t>Demo data</t>
        </is>
      </c>
      <c r="C14" s="7" t="inlineStr">
        <is>
          <t>Settle the canonical figures</t>
        </is>
      </c>
      <c r="D14" s="7" t="inlineStr">
        <is>
          <t>The wireframe header says AED 716,044 while its own line values sum to 685,080 and reconcile to the per-WBS commitment split</t>
        </is>
      </c>
      <c r="E14" s="7" t="inlineStr">
        <is>
          <t>Correct the header, or supply the intended numbers</t>
        </is>
      </c>
      <c r="F14" s="10" t="inlineStr">
        <is>
          <t>Open</t>
        </is>
      </c>
      <c r="G14" s="7" t="inlineStr">
        <is>
          <t>2026-08-15</t>
        </is>
      </c>
    </row>
    <row r="15">
      <c r="A15" s="7" t="inlineStr">
        <is>
          <t>S-10</t>
        </is>
      </c>
      <c r="B15" s="7" t="inlineStr">
        <is>
          <t>Compliance</t>
        </is>
      </c>
      <c r="C15" s="7" t="inlineStr">
        <is>
          <t>Confirm whether numbering must be gap-free</t>
        </is>
      </c>
      <c r="D15" s="7" t="inlineStr">
        <is>
          <t>Numbers are issued on activation so abandoned drafts do not consume them, but a cancelled document still leaves a gap</t>
        </is>
      </c>
      <c r="E15" s="7" t="inlineStr">
        <is>
          <t>Confirm per document type; some jurisdictions require unbroken sequences</t>
        </is>
      </c>
      <c r="F15" s="10" t="inlineStr">
        <is>
          <t>Open</t>
        </is>
      </c>
      <c r="G15" s="7" t="inlineStr">
        <is>
          <t>2026-08-15</t>
        </is>
      </c>
    </row>
    <row r="16">
      <c r="A16" s="7" t="inlineStr">
        <is>
          <t>S-11</t>
        </is>
      </c>
      <c r="B16" s="7" t="inlineStr">
        <is>
          <t>Masters</t>
        </is>
      </c>
      <c r="C16" s="7" t="inlineStr">
        <is>
          <t>Promotion collision currently blocks</t>
        </is>
      </c>
      <c r="D16" s="7" t="inlineStr">
        <is>
          <t>When two companies hold the same code locally, promotion is refused and names both. Merge or force-rename are the alternatives</t>
        </is>
      </c>
      <c r="E16" s="7" t="inlineStr">
        <is>
          <t>Keep blocking unless the business prefers a merge; it is a one-method change</t>
        </is>
      </c>
      <c r="F16" s="10" t="inlineStr">
        <is>
          <t>Open</t>
        </is>
      </c>
      <c r="G16" s="7" t="inlineStr">
        <is>
          <t>2026-08-15</t>
        </is>
      </c>
    </row>
    <row r="17">
      <c r="A17" s="7" t="inlineStr">
        <is>
          <t>S-12</t>
        </is>
      </c>
      <c r="B17" s="7" t="inlineStr">
        <is>
          <t>Security</t>
        </is>
      </c>
      <c r="C17" s="7" t="inlineStr">
        <is>
          <t>Review role collections before go-live</t>
        </is>
      </c>
      <c r="D17" s="7" t="inlineStr">
        <is>
          <t>The XSUAA Admin role bypasses the data-driven authorization layer as a bootstrap path, and service-level @requires still gates entry independently of the persona model</t>
        </is>
      </c>
      <c r="E17" s="7" t="inlineStr">
        <is>
          <t>Security review of both layers before the first client</t>
        </is>
      </c>
      <c r="F17" s="10" t="inlineStr">
        <is>
          <t>Open</t>
        </is>
      </c>
      <c r="G17" s="7" t="inlineStr">
        <is>
          <t>2026-08-15</t>
        </is>
      </c>
    </row>
    <row r="18">
      <c r="A18" s="7" t="inlineStr">
        <is>
          <t>S-13</t>
        </is>
      </c>
      <c r="B18" s="7" t="inlineStr">
        <is>
          <t>Masters</t>
        </is>
      </c>
      <c r="C18" s="7" t="inlineStr">
        <is>
          <t>Reuse the content pack mechanism for the starter pack</t>
        </is>
      </c>
      <c r="D18" s="7" t="inlineStr">
        <is>
          <t>Versioned, insert-if-missing, never overwrites client edits - already built and proven for number ranges</t>
        </is>
      </c>
      <c r="E18" s="7" t="inlineStr">
        <is>
          <t>Ship the EC&amp;O starter pack the same way</t>
        </is>
      </c>
      <c r="F18" s="10" t="inlineStr">
        <is>
          <t>Open</t>
        </is>
      </c>
      <c r="G18" s="7" t="inlineStr">
        <is>
          <t>2026-08-15</t>
        </is>
      </c>
    </row>
    <row r="19">
      <c r="A19" s="7" t="inlineStr">
        <is>
          <t>S-14</t>
        </is>
      </c>
      <c r="B19" s="7" t="inlineStr">
        <is>
          <t>Masters</t>
        </is>
      </c>
      <c r="C19" s="7" t="inlineStr">
        <is>
          <t>Master editing needs draft handling</t>
        </is>
      </c>
      <c r="D19" s="7" t="inlineStr">
        <is>
          <t>A master screen that cannot be maintained is half a screen, and the draft pattern is inherited by every later module</t>
        </is>
      </c>
      <c r="E19" s="7" t="inlineStr">
        <is>
          <t>Build it before Templates so the pattern is settled once</t>
        </is>
      </c>
      <c r="F19" s="10" t="inlineStr">
        <is>
          <t>In progress</t>
        </is>
      </c>
      <c r="G19" s="7" t="inlineStr">
        <is>
          <t>2026-08-15</t>
        </is>
      </c>
    </row>
    <row r="20">
      <c r="A20" s="7" t="inlineStr">
        <is>
          <t>S-15</t>
        </is>
      </c>
      <c r="B20" s="7" t="inlineStr">
        <is>
          <t>Integration</t>
        </is>
      </c>
      <c r="C20" s="7" t="inlineStr">
        <is>
          <t>Merged into Q-09</t>
        </is>
      </c>
      <c r="D20" s="7" t="inlineStr">
        <is>
          <t>Was a duplicate of the S/4 tenant question; the concrete list of what is needed now lives on Q-09</t>
        </is>
      </c>
      <c r="E20" s="7" t="inlineStr">
        <is>
          <t>See Q-09</t>
        </is>
      </c>
      <c r="F20" s="7" t="inlineStr">
        <is>
          <t>Merged</t>
        </is>
      </c>
      <c r="G20" s="7" t="inlineStr">
        <is>
          <t>2026-08-15</t>
        </is>
      </c>
    </row>
    <row r="21">
      <c r="A21" s="7" t="inlineStr">
        <is>
          <t>S-16</t>
        </is>
      </c>
      <c r="B21" s="7" t="inlineStr">
        <is>
          <t>Architecture</t>
        </is>
      </c>
      <c r="C21" s="7" t="inlineStr">
        <is>
          <t>The reader principle now has an exception</t>
        </is>
      </c>
      <c r="D21" s="7" t="inlineStr">
        <is>
          <t>D-17 makes the project KONSTRYX-mastered while procurement and finance stay S/4-owned. The principle is no longer 'S/4 owns transactions'; it is object by object</t>
        </is>
      </c>
      <c r="E21" s="7" t="inlineStr">
        <is>
          <t>Restate the rule in the product documentation so the exception is deliberate rather than remembered</t>
        </is>
      </c>
      <c r="F21" s="10" t="inlineStr">
        <is>
          <t>Open</t>
        </is>
      </c>
      <c r="G21" s="7" t="inlineStr">
        <is>
          <t>2026-08-15</t>
        </is>
      </c>
    </row>
    <row r="22">
      <c r="A22" s="7" t="inlineStr">
        <is>
          <t>S-17</t>
        </is>
      </c>
      <c r="B22" s="7" t="inlineStr">
        <is>
          <t>Integration</t>
        </is>
      </c>
      <c r="C22" s="7" t="inlineStr">
        <is>
          <t>An unsynchronised project is dangerous</t>
        </is>
      </c>
      <c r="D22" s="7" t="inlineStr">
        <is>
          <t>A project created in KONSTRYX that failed to reach S/4 will still accept requests and budgets that can never post</t>
        </is>
      </c>
      <c r="E22" s="7" t="inlineStr">
        <is>
          <t>Show the unsynchronised state prominently in the UI and block budget release until the S/4 project exists</t>
        </is>
      </c>
      <c r="F22" s="10" t="inlineStr">
        <is>
          <t>Open</t>
        </is>
      </c>
      <c r="G22" s="7" t="inlineStr">
        <is>
          <t>2026-08-15</t>
        </is>
      </c>
    </row>
    <row r="23">
      <c r="A23" s="7" t="inlineStr">
        <is>
          <t>S-18</t>
        </is>
      </c>
      <c r="B23" s="7" t="inlineStr">
        <is>
          <t>Architecture</t>
        </is>
      </c>
      <c r="C23" s="7" t="inlineStr">
        <is>
          <t>Build upload/download once, not per screen</t>
        </is>
      </c>
      <c r="D23" s="7" t="inlineStr">
        <is>
          <t>D-18 applies to every master and transaction. Bespoke import per screen is how 40 modules end up with 40 different error behaviours</t>
        </is>
      </c>
      <c r="E23" s="7" t="inlineStr">
        <is>
          <t>One framework: template definition, staging, validation against the same service rules, and an error report the user can correct and re-upload</t>
        </is>
      </c>
      <c r="F23" s="8" t="inlineStr">
        <is>
          <t>Done</t>
        </is>
      </c>
      <c r="G23" s="7" t="inlineStr">
        <is>
          <t>2026-08-15</t>
        </is>
      </c>
    </row>
    <row r="24">
      <c r="A24" s="7" t="inlineStr">
        <is>
          <t>S-19</t>
        </is>
      </c>
      <c r="B24" s="7" t="inlineStr">
        <is>
          <t>Approvals</t>
        </is>
      </c>
      <c r="C24" s="7" t="inlineStr">
        <is>
          <t>The delivered value bands are mine, not yours</t>
        </is>
      </c>
      <c r="D24" s="7" t="inlineStr">
        <is>
          <t>The engine ships with Budget at 100k/1m and Resource Request at 250k/1m so it works out of the box. Nobody at Inflexion or a client has agreed those figures, and a demo will show them as if they were policy</t>
        </is>
      </c>
      <c r="E24" s="7" t="inlineStr">
        <is>
          <t>Replace them before any client sees the product. See Q-03</t>
        </is>
      </c>
      <c r="F24" s="10" t="inlineStr">
        <is>
          <t>Open</t>
        </is>
      </c>
      <c r="G24" s="7" t="inlineStr">
        <is>
          <t>2026-08-15</t>
        </is>
      </c>
    </row>
    <row r="25">
      <c r="A25" s="7" t="inlineStr">
        <is>
          <t>S-20</t>
        </is>
      </c>
      <c r="B25" s="7" t="inlineStr">
        <is>
          <t>Approvals</t>
        </is>
      </c>
      <c r="C25" s="7" t="inlineStr">
        <is>
          <t>Separation of duties is on by default</t>
        </is>
      </c>
      <c r="D25" s="7" t="inlineStr">
        <is>
          <t>Someone who cleared step 1 cannot clear step 2 of the same document. In a small contractor one director genuinely is both signatures, so allowChaining exists per step to permit it</t>
        </is>
      </c>
      <c r="E25" s="7" t="inlineStr">
        <is>
          <t>Confirm the default is right for EC&amp;O clients; it is a per-step switch either way</t>
        </is>
      </c>
      <c r="F25" s="10" t="inlineStr">
        <is>
          <t>Open</t>
        </is>
      </c>
      <c r="G25" s="7" t="inlineStr">
        <is>
          <t>2026-08-15</t>
        </is>
      </c>
    </row>
    <row r="26">
      <c r="A26" s="7" t="inlineStr">
        <is>
          <t>S-21</t>
        </is>
      </c>
      <c r="B26" s="7" t="inlineStr">
        <is>
          <t>Approvals</t>
        </is>
      </c>
      <c r="C26" s="7" t="inlineStr">
        <is>
          <t>Nothing yet withdraws an approval when the document changes</t>
        </is>
      </c>
      <c r="D26" s="7" t="inlineStr">
        <is>
          <t>A resource request approved at AED 2m stays approved if someone later edits it down to 200k, or up. The approval records the amount it was judged on but nothing re-checks it</t>
        </is>
      </c>
      <c r="E26" s="7" t="inlineStr">
        <is>
          <t>Decide per object type whether an edit invalidates an in-flight or completed approval; wire it with F-05</t>
        </is>
      </c>
      <c r="F26" s="10" t="inlineStr">
        <is>
          <t>Open</t>
        </is>
      </c>
      <c r="G26" s="7" t="inlineStr">
        <is>
          <t>2026-08-15</t>
        </is>
      </c>
    </row>
    <row r="27">
      <c r="A27" s="7" t="inlineStr">
        <is>
          <t>S-22</t>
        </is>
      </c>
      <c r="B27" s="7" t="inlineStr">
        <is>
          <t>Approvals</t>
        </is>
      </c>
      <c r="C27" s="7" t="inlineStr">
        <is>
          <t>Editing a scheme mid-flight</t>
        </is>
      </c>
      <c r="D27" s="7" t="inlineStr">
        <is>
          <t>Instances freeze the step number and name at submission, so an in-flight approval survives a scheme edit. It still points at the step definition for the approver persona, and CAP draft activation can renumber those rows</t>
        </is>
      </c>
      <c r="E27" s="7" t="inlineStr">
        <is>
          <t>Confirm the intended behaviour: should a scheme edit affect approvals already running? Today it partly does</t>
        </is>
      </c>
      <c r="F27" s="10" t="inlineStr">
        <is>
          <t>Open</t>
        </is>
      </c>
      <c r="G27" s="7" t="inlineStr">
        <is>
          <t>2026-08-15</t>
        </is>
      </c>
    </row>
    <row r="28">
      <c r="A28" s="7" t="inlineStr">
        <is>
          <t>S-35</t>
        </is>
      </c>
      <c r="B28" s="7" t="inlineStr">
        <is>
          <t>Planning</t>
        </is>
      </c>
      <c r="C28" s="7" t="inlineStr">
        <is>
          <t>Four-class budget roll-up blocked on OPEN-01/OPEN-02</t>
        </is>
      </c>
      <c r="D28" s="7" t="inlineStr">
        <is>
          <t>The spec itself flags that the budget-detail label conflates Class (L1) with control level (L3), and that the six verticals do not map 1:1 onto four classes — SF could be Equipment or Subcontract depending on pool vs vendor-supplied. Every scaffold project's split is wrong until pinned</t>
        </is>
      </c>
      <c r="E28" s="7" t="inlineStr">
        <is>
          <t>Answer OPEN-01 and OPEN-02 in the spec; the roll-up is a one-day build once pinned</t>
        </is>
      </c>
      <c r="F28" s="10" t="inlineStr">
        <is>
          <t>Open</t>
        </is>
      </c>
      <c r="G28" s="7" t="inlineStr">
        <is>
          <t>2026-08-15</t>
        </is>
      </c>
    </row>
    <row r="29">
      <c r="A29" s="7" t="inlineStr">
        <is>
          <t>S-36</t>
        </is>
      </c>
      <c r="B29" s="7" t="inlineStr">
        <is>
          <t>Planning</t>
        </is>
      </c>
      <c r="C29" s="7" t="inlineStr">
        <is>
          <t>Crew roles have no resource mapping master</t>
        </is>
      </c>
      <c r="D29" s="7" t="inlineStr">
        <is>
          <t>Crew composition strings carry role tokens (SK, HLP) that no master resolves to a resource. Unmapped roles fall back to the norm resource, visibly labelled, so demand lands on the wrong resource in plain sight rather than invisibly</t>
        </is>
      </c>
      <c r="E29" s="7" t="inlineStr">
        <is>
          <t>Decide where the role-to-resource mapping lives — the Trade Catalogue is the natural home per the wireframe audit</t>
        </is>
      </c>
      <c r="F29" s="10" t="inlineStr">
        <is>
          <t>Open</t>
        </is>
      </c>
      <c r="G29" s="7" t="inlineStr">
        <is>
          <t>2026-08-15</t>
        </is>
      </c>
    </row>
    <row r="30">
      <c r="A30" s="7" t="inlineStr">
        <is>
          <t>S-32</t>
        </is>
      </c>
      <c r="B30" s="7" t="inlineStr">
        <is>
          <t>Commercial</t>
        </is>
      </c>
      <c r="C30" s="7" t="inlineStr">
        <is>
          <t>Encumbrance lands in the budget on demand, not on event</t>
        </is>
      </c>
      <c r="D30" s="7" t="inlineStr">
        <is>
          <t>refreshControl sums open reservations into the control record when called. A reservation created after the last refresh is invisible in the budget until someone refreshes</t>
        </is>
      </c>
      <c r="E30" s="7" t="inlineStr">
        <is>
          <t>Wire the chain to refresh affected budget lines on reservation create/close, or schedule it; on-demand was the honest first cut</t>
        </is>
      </c>
      <c r="F30" s="10" t="inlineStr">
        <is>
          <t>Open</t>
        </is>
      </c>
      <c r="G30" s="7" t="inlineStr">
        <is>
          <t>2026-08-15</t>
        </is>
      </c>
    </row>
    <row r="31">
      <c r="A31" s="7" t="inlineStr">
        <is>
          <t>S-33</t>
        </is>
      </c>
      <c r="B31" s="7" t="inlineStr">
        <is>
          <t>Planning</t>
        </is>
      </c>
      <c r="C31" s="7" t="inlineStr">
        <is>
          <t>Spec variance needs a distinct CBS leaf — now ENFORCED as VAL-05</t>
        </is>
      </c>
      <c r="D31" s="7" t="inlineStr">
        <is>
          <t>The gate fails any CBS leaf carrying two material grades, exactly as spec Part A.3 demands, and budget generation refuses GATE_FAILED while it stands</t>
        </is>
      </c>
      <c r="E31" s="7" t="inlineStr">
        <is>
          <t>Closed by implementation; the stewardship guidance should still cite VAL-05</t>
        </is>
      </c>
      <c r="F31" s="11" t="inlineStr">
        <is>
          <t>Closed</t>
        </is>
      </c>
      <c r="G31" s="7" t="inlineStr">
        <is>
          <t>2026-08-15</t>
        </is>
      </c>
    </row>
    <row r="32">
      <c r="A32" s="7" t="inlineStr">
        <is>
          <t>S-34</t>
        </is>
      </c>
      <c r="B32" s="7" t="inlineStr">
        <is>
          <t>Execution</t>
        </is>
      </c>
      <c r="C32" s="7" t="inlineStr">
        <is>
          <t>Reservation encumbrance has no duration dimension</t>
        </is>
      </c>
      <c r="D32" s="7" t="inlineStr">
        <is>
          <t>estTotal today is unit rate x qty; the seeded canonical thread carried duration-based encumbrances (2 cranes x 320/day x 432 days). Duration needs planning dates the request does not yet carry</t>
        </is>
      </c>
      <c r="E32" s="7" t="inlineStr">
        <is>
          <t>Add period-from/to to request lines when planning dates exist, and price estTotal as qty x rate x days</t>
        </is>
      </c>
      <c r="F32" s="10" t="inlineStr">
        <is>
          <t>Open</t>
        </is>
      </c>
      <c r="G32" s="7" t="inlineStr">
        <is>
          <t>2026-08-15</t>
        </is>
      </c>
    </row>
    <row r="33">
      <c r="A33" s="7" t="inlineStr">
        <is>
          <t>S-30</t>
        </is>
      </c>
      <c r="B33" s="7" t="inlineStr">
        <is>
          <t>Project Setup</t>
        </is>
      </c>
      <c r="C33" s="7" t="inlineStr">
        <is>
          <t>P6 import matches on project code, so a re-import is refused rather than merged</t>
        </is>
      </c>
      <c r="D33" s="7" t="inlineStr">
        <is>
          <t>Sending a revised P6 file is the normal way a planner works — the schedule changes weekly. Today the second file is rejected as a duplicate code, which is safe but not useful</t>
        </is>
      </c>
      <c r="E33" s="7" t="inlineStr">
        <is>
          <t>Decide what a re-import should mean: refuse, update the header, or reconcile the WBS tree adding and flagging removals. Reconciliation is the one planners will expect and the one that can silently orphan budget lines</t>
        </is>
      </c>
      <c r="F33" s="10" t="inlineStr">
        <is>
          <t>Open</t>
        </is>
      </c>
      <c r="G33" s="7" t="inlineStr">
        <is>
          <t>2026-08-15</t>
        </is>
      </c>
    </row>
    <row r="34">
      <c r="A34" s="7" t="inlineStr">
        <is>
          <t>S-31</t>
        </is>
      </c>
      <c r="B34" s="7" t="inlineStr">
        <is>
          <t>Project Setup</t>
        </is>
      </c>
      <c r="C34" s="7" t="inlineStr">
        <is>
          <t>Only the project header and WBS come across from P6</t>
        </is>
      </c>
      <c r="D34" s="7" t="inlineStr">
        <is>
          <t>Activities, logic, durations, resource assignments and the baseline are all in the file and all ignored. That is the right first cut - KONSTRYX is not a scheduling tool - but it is worth being explicit that P6 remains the schedule of record</t>
        </is>
      </c>
      <c r="E34" s="7" t="inlineStr">
        <is>
          <t>Confirm the boundary: does KONSTRYX ever need activity-level data, or does it stop at WBS?</t>
        </is>
      </c>
      <c r="F34" s="10" t="inlineStr">
        <is>
          <t>Open</t>
        </is>
      </c>
      <c r="G34" s="7" t="inlineStr">
        <is>
          <t>2026-08-15</t>
        </is>
      </c>
    </row>
    <row r="35">
      <c r="A35" s="7" t="inlineStr">
        <is>
          <t>S-27</t>
        </is>
      </c>
      <c r="B35" s="7" t="inlineStr">
        <is>
          <t>Seed data</t>
        </is>
      </c>
      <c r="C35" s="7" t="inlineStr">
        <is>
          <t>A bad seed row fails silently and looks like an authorization bug</t>
        </is>
      </c>
      <c r="D35" s="7" t="inlineStr">
        <is>
          <t>The loader cancels the entity's whole change set and logs it at INFO. The symptom is every request returning 403, which sends you looking at the authorization model instead of at a CSV</t>
        </is>
      </c>
      <c r="E35" s="7" t="inlineStr">
        <is>
          <t>Add a startup check that counts loaded rows against the file and fails loudly on a mismatch. Same class of problem as S-05</t>
        </is>
      </c>
      <c r="F35" s="10" t="inlineStr">
        <is>
          <t>Open</t>
        </is>
      </c>
      <c r="G35" s="7" t="inlineStr">
        <is>
          <t>2026-08-15</t>
        </is>
      </c>
    </row>
    <row r="36">
      <c r="A36" s="7" t="inlineStr">
        <is>
          <t>S-28</t>
        </is>
      </c>
      <c r="B36" s="7" t="inlineStr">
        <is>
          <t>Project Setup</t>
        </is>
      </c>
      <c r="C36" s="7" t="inlineStr">
        <is>
          <t>Nothing yet stops work against a project that is not in S/4</t>
        </is>
      </c>
      <c r="D36" s="7" t="inlineStr">
        <is>
          <t>The state is now visible and honest — a project reads NOT_SENT until the connector confirms it — but requisitions, budgets and reservations can still be raised against it. Visibility was the prerequisite; the block is a separate decision</t>
        </is>
      </c>
      <c r="E36" s="7" t="inlineStr">
        <is>
          <t>Decide per document type whether an unsynchronised project blocks creation or only release. Closes the second half of S-17</t>
        </is>
      </c>
      <c r="F36" s="10" t="inlineStr">
        <is>
          <t>Open</t>
        </is>
      </c>
      <c r="G36" s="7" t="inlineStr">
        <is>
          <t>2026-08-15</t>
        </is>
      </c>
    </row>
    <row r="37">
      <c r="A37" s="7" t="inlineStr">
        <is>
          <t>S-29</t>
        </is>
      </c>
      <c r="B37" s="7" t="inlineStr">
        <is>
          <t>Project Setup</t>
        </is>
      </c>
      <c r="C37" s="7" t="inlineStr">
        <is>
          <t>Project numbering is manual</t>
        </is>
      </c>
      <c r="D37" s="7" t="inlineStr">
        <is>
          <t>A project code is typed in and checked for uniqueness. Number ranges exist and are configurable, and other documents use them, but projects do not — partly because clients often carry an existing code from the contract</t>
        </is>
      </c>
      <c r="E37" s="7" t="inlineStr">
        <is>
          <t>Confirm whether project codes should be issued by a number range, typed, or either depending on the client</t>
        </is>
      </c>
      <c r="F37" s="10" t="inlineStr">
        <is>
          <t>Open</t>
        </is>
      </c>
      <c r="G37" s="7" t="inlineStr">
        <is>
          <t>2026-08-15</t>
        </is>
      </c>
    </row>
    <row r="38">
      <c r="A38" s="7" t="inlineStr">
        <is>
          <t>S-24</t>
        </is>
      </c>
      <c r="B38" s="7" t="inlineStr">
        <is>
          <t>Attachments</t>
        </is>
      </c>
      <c r="C38" s="7" t="inlineStr">
        <is>
          <t>Attachment content is stored in the database</t>
        </is>
      </c>
      <c r="D38" s="7" t="inlineStr">
        <is>
          <t>LargeBinary in HANA is right for the documents that carry legal weight — drawings, permits, signed variations — because they are backed up and restored with the data they belong to. It is the wrong home for thousands of site photographs</t>
        </is>
      </c>
      <c r="E38" s="7" t="inlineStr">
        <is>
          <t>Decide whether photo-heavy objects go to an object store instead. It is a per-category switch if decided before volume builds up, and a migration afterwards</t>
        </is>
      </c>
      <c r="F38" s="10" t="inlineStr">
        <is>
          <t>Open</t>
        </is>
      </c>
      <c r="G38" s="7" t="inlineStr">
        <is>
          <t>2026-08-15</t>
        </is>
      </c>
    </row>
    <row r="39">
      <c r="A39" s="7" t="inlineStr">
        <is>
          <t>S-25</t>
        </is>
      </c>
      <c r="B39" s="7" t="inlineStr">
        <is>
          <t>Attachments</t>
        </is>
      </c>
      <c r="C39" s="7" t="inlineStr">
        <is>
          <t>Nothing scans uploads or limits their size</t>
        </is>
      </c>
      <c r="D39" s="7" t="inlineStr">
        <is>
          <t>Any authenticated user can upload any file of any size to any object. On a client tenant that is both a malware route and a storage risk</t>
        </is>
      </c>
      <c r="E39" s="7" t="inlineStr">
        <is>
          <t>Add a size cap and virus scanning before the first client upload. SAP BTP has a Malware Scanning service; the size cap is configuration</t>
        </is>
      </c>
      <c r="F39" s="10" t="inlineStr">
        <is>
          <t>Open</t>
        </is>
      </c>
      <c r="G39" s="7" t="inlineStr">
        <is>
          <t>2026-08-15</t>
        </is>
      </c>
    </row>
    <row r="40">
      <c r="A40" s="7" t="inlineStr">
        <is>
          <t>S-26</t>
        </is>
      </c>
      <c r="B40" s="7" t="inlineStr">
        <is>
          <t>Attachments</t>
        </is>
      </c>
      <c r="C40" s="7" t="inlineStr">
        <is>
          <t>Deleting an attachment breaks the version chain</t>
        </is>
      </c>
      <c r="D40" s="7" t="inlineStr">
        <is>
          <t>supersedes points at the previous version. Deleting a middle version leaves the chain dangling, and deleting the document someone approved against destroys the evidence</t>
        </is>
      </c>
      <c r="E40" s="7" t="inlineStr">
        <is>
          <t>Block deletion of a superseded version, or of anything attached to a closed approval; mark as obsolete instead</t>
        </is>
      </c>
      <c r="F40" s="10" t="inlineStr">
        <is>
          <t>Open</t>
        </is>
      </c>
      <c r="G40" s="7" t="inlineStr">
        <is>
          <t>2026-08-15</t>
        </is>
      </c>
    </row>
    <row r="41">
      <c r="A41" s="7" t="inlineStr">
        <is>
          <t>S-23</t>
        </is>
      </c>
      <c r="B41" s="7" t="inlineStr">
        <is>
          <t>Frameworks</t>
        </is>
      </c>
      <c r="C41" s="7" t="inlineStr">
        <is>
          <t>Content packs now carry references</t>
        </is>
      </c>
      <c r="D41" s="7" t="inlineStr">
        <is>
          <t>Delivered content could previously only hold flat rows, which is why the approval schemes could not ship as content. Packs now resolve a row by natural key at deploy time and match on composite keys</t>
        </is>
      </c>
      <c r="E41" s="7" t="inlineStr">
        <is>
          <t>Use the same mechanism for the EC&amp;O starter pack (S-13) and for delivered personas</t>
        </is>
      </c>
      <c r="F41" s="10" t="inlineStr">
        <is>
          <t>Open</t>
        </is>
      </c>
      <c r="G41" s="7" t="inlineStr">
        <is>
          <t>2026-08-15</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showGridLines="0" workbookViewId="0">
      <pane ySplit="5" topLeftCell="A6" activePane="bottomLeft" state="frozen"/>
      <selection pane="bottomLeft" activeCell="A1" sqref="A1"/>
    </sheetView>
  </sheetViews>
  <sheetFormatPr baseColWidth="8" defaultRowHeight="15"/>
  <cols>
    <col width="10" customWidth="1" min="1" max="1"/>
    <col width="22" customWidth="1" min="2" max="2"/>
    <col width="44" customWidth="1" min="3" max="3"/>
    <col width="9" customWidth="1" min="4" max="4"/>
    <col width="60" customWidth="1" min="5" max="5"/>
    <col width="56" customWidth="1" min="6" max="6"/>
    <col width="34" customWidth="1" min="7" max="7"/>
  </cols>
  <sheetData>
    <row r="1" ht="20" customHeight="1">
      <c r="A1" s="1" t="inlineStr">
        <is>
          <t>Options register — what was on the table, and what switching would cost</t>
        </is>
      </c>
    </row>
    <row r="2">
      <c r="A2" s="2" t="inlineStr">
        <is>
          <t>Kept so any decision can be reopened without re-deriving the alternatives. Chosen option marked.</t>
        </is>
      </c>
    </row>
    <row r="5" ht="28" customHeight="1">
      <c r="A5" s="4" t="inlineStr">
        <is>
          <t>Decision</t>
        </is>
      </c>
      <c r="B5" s="4" t="inlineStr">
        <is>
          <t>Question</t>
        </is>
      </c>
      <c r="C5" s="4" t="inlineStr">
        <is>
          <t>Option</t>
        </is>
      </c>
      <c r="D5" s="4" t="inlineStr">
        <is>
          <t>Chosen</t>
        </is>
      </c>
      <c r="E5" s="4" t="inlineStr">
        <is>
          <t>Trade-off</t>
        </is>
      </c>
      <c r="F5" s="4" t="inlineStr">
        <is>
          <t>Cost to switch to this later</t>
        </is>
      </c>
      <c r="G5" s="4" t="inlineStr">
        <is>
          <t>Reversibility</t>
        </is>
      </c>
    </row>
    <row r="6">
      <c r="A6" s="7" t="inlineStr">
        <is>
          <t>D-01</t>
        </is>
      </c>
      <c r="B6" s="7" t="inlineStr">
        <is>
          <t>Backend runtime</t>
        </is>
      </c>
      <c r="C6" s="7" t="inlineStr">
        <is>
          <t>CAP Java</t>
        </is>
      </c>
      <c r="D6" s="8" t="inlineStr">
        <is>
          <t>YES</t>
        </is>
      </c>
      <c r="E6" s="7" t="inlineStr">
        <is>
          <t>Matches skeleton, staffing plan and integration-heavy workload; slower inner loop</t>
        </is>
      </c>
      <c r="F6" s="7" t="inlineStr">
        <is>
          <t>—</t>
        </is>
      </c>
      <c r="G6" s="7" t="inlineStr">
        <is>
          <t>Hard — rewrites pom, mta, handlers</t>
        </is>
      </c>
    </row>
    <row r="7">
      <c r="A7" s="7" t="inlineStr">
        <is>
          <t>D-01</t>
        </is>
      </c>
      <c r="B7" s="7" t="inlineStr"/>
      <c r="C7" s="7" t="inlineStr">
        <is>
          <t>CAP Node.js</t>
        </is>
      </c>
      <c r="D7" s="7" t="inlineStr"/>
      <c r="E7" s="7" t="inlineStr">
        <is>
          <t>Fastest iteration, lower memory; contradicts every signed plan document</t>
        </is>
      </c>
      <c r="F7" s="7" t="inlineStr">
        <is>
          <t>Rewrite all service handlers and deployment descriptors</t>
        </is>
      </c>
      <c r="G7" s="7" t="inlineStr">
        <is>
          <t>Hard</t>
        </is>
      </c>
    </row>
    <row r="8">
      <c r="A8" s="7" t="inlineStr">
        <is>
          <t>D-02</t>
        </is>
      </c>
      <c r="B8" s="7" t="inlineStr">
        <is>
          <t>Tenancy</t>
        </is>
      </c>
      <c r="C8" s="7" t="inlineStr">
        <is>
          <t>Dedicated — one deployment per client</t>
        </is>
      </c>
      <c r="D8" s="8" t="inlineStr">
        <is>
          <t>YES</t>
        </is>
      </c>
      <c r="E8" s="7" t="inlineStr">
        <is>
          <t>Simplest to build and certify; upgrade effort scales linearly with clients</t>
        </is>
      </c>
      <c r="F8" s="7" t="inlineStr">
        <is>
          <t>—</t>
        </is>
      </c>
      <c r="G8" s="7" t="inlineStr">
        <is>
          <t>Reversible now, costly per live client later</t>
        </is>
      </c>
    </row>
    <row r="9">
      <c r="A9" s="7" t="inlineStr">
        <is>
          <t>D-02</t>
        </is>
      </c>
      <c r="B9" s="7" t="inlineStr"/>
      <c r="C9" s="7" t="inlineStr">
        <is>
          <t>Shared multitenancy</t>
        </is>
      </c>
      <c r="D9" s="7" t="inlineStr"/>
      <c r="E9" s="7" t="inlineStr">
        <is>
          <t>One upgrade serves all tenants; needs MTX sidecar, SaaS registry, subscription callbacks</t>
        </is>
      </c>
      <c r="F9" s="7" t="inlineStr">
        <is>
          <t>A few days now with zero clients. Per live client later: data copy into a tenant container, freeze window, rollback plan</t>
        </is>
      </c>
      <c r="G9" s="7" t="inlineStr">
        <is>
          <t>Model is tenancy-neutral, so no data reshaping</t>
        </is>
      </c>
    </row>
    <row r="10">
      <c r="A10" s="7" t="inlineStr">
        <is>
          <t>D-03</t>
        </is>
      </c>
      <c r="B10" s="7" t="inlineStr">
        <is>
          <t>Delivered content</t>
        </is>
      </c>
      <c r="C10" s="7" t="inlineStr">
        <is>
          <t>Code lists ship; business content is an optional import</t>
        </is>
      </c>
      <c r="D10" s="8" t="inlineStr">
        <is>
          <t>YES</t>
        </is>
      </c>
      <c r="E10" s="7" t="inlineStr">
        <is>
          <t>Clean tenant databases, content versioned independently</t>
        </is>
      </c>
      <c r="F10" s="7" t="inlineStr">
        <is>
          <t>—</t>
        </is>
      </c>
      <c r="G10" s="7" t="inlineStr">
        <is>
          <t>Easy</t>
        </is>
      </c>
    </row>
    <row r="11">
      <c r="A11" s="7" t="inlineStr">
        <is>
          <t>D-03</t>
        </is>
      </c>
      <c r="B11" s="7" t="inlineStr"/>
      <c r="C11" s="7" t="inlineStr">
        <is>
          <t>Ship a starter EC&amp;O pack in the database</t>
        </is>
      </c>
      <c r="D11" s="7" t="inlineStr"/>
      <c r="E11" s="7" t="inlineStr">
        <is>
          <t>Faster onboarding; becomes product IP you must version and upgrade across tenants</t>
        </is>
      </c>
      <c r="F11" s="7" t="inlineStr">
        <is>
          <t>Move rows from the import into db/data</t>
        </is>
      </c>
      <c r="G11" s="7" t="inlineStr">
        <is>
          <t>Easy</t>
        </is>
      </c>
    </row>
    <row r="12">
      <c r="A12" s="7" t="inlineStr">
        <is>
          <t>D-03</t>
        </is>
      </c>
      <c r="B12" s="7" t="inlineStr"/>
      <c r="C12" s="7" t="inlineStr">
        <is>
          <t>Code lists only, nothing else ever</t>
        </is>
      </c>
      <c r="D12" s="7" t="inlineStr"/>
      <c r="E12" s="7" t="inlineStr">
        <is>
          <t>Purest no-assumptions reading; slowest client onboarding</t>
        </is>
      </c>
      <c r="F12" s="7" t="inlineStr">
        <is>
          <t>Drop the import mechanism</t>
        </is>
      </c>
      <c r="G12" s="7" t="inlineStr">
        <is>
          <t>Easy</t>
        </is>
      </c>
    </row>
    <row r="13">
      <c r="A13" s="7" t="inlineStr">
        <is>
          <t>D-04</t>
        </is>
      </c>
      <c r="B13" s="7" t="inlineStr">
        <is>
          <t>Vertical modelling</t>
        </is>
      </c>
      <c r="C13" s="7" t="inlineStr">
        <is>
          <t>Extension entity per vertical</t>
        </is>
      </c>
      <c r="D13" s="8" t="inlineStr">
        <is>
          <t>YES</t>
        </is>
      </c>
      <c r="E13" s="7" t="inlineStr">
        <is>
          <t>Fits six genuinely different verticals; more entities, polymorphic queries</t>
        </is>
      </c>
      <c r="F13" s="7" t="inlineStr">
        <is>
          <t>—</t>
        </is>
      </c>
      <c r="G13" s="7" t="inlineStr">
        <is>
          <t>Medium</t>
        </is>
      </c>
    </row>
    <row r="14">
      <c r="A14" s="7" t="inlineStr">
        <is>
          <t>D-04</t>
        </is>
      </c>
      <c r="B14" s="7" t="inlineStr"/>
      <c r="C14" s="7" t="inlineStr">
        <is>
          <t>Denormalise onto the request line</t>
        </is>
      </c>
      <c r="D14" s="7" t="inlineStr"/>
      <c r="E14" s="7" t="inlineStr">
        <is>
          <t>Cheaper queries; routing decision then exists in two places and can drift</t>
        </is>
      </c>
      <c r="F14" s="7" t="inlineStr">
        <is>
          <t>Flatten extension entities into the spine</t>
        </is>
      </c>
      <c r="G14" s="7" t="inlineStr">
        <is>
          <t>Medium</t>
        </is>
      </c>
    </row>
    <row r="15">
      <c r="A15" s="7" t="inlineStr">
        <is>
          <t>D-04</t>
        </is>
      </c>
      <c r="B15" s="7" t="inlineStr"/>
      <c r="C15" s="7" t="inlineStr">
        <is>
          <t>Derive routing from AdvisoryDecision</t>
        </is>
      </c>
      <c r="D15" s="7" t="inlineStr"/>
      <c r="E15" s="7" t="inlineStr">
        <is>
          <t>No duplication; cannot express re-sourcing by variation without reopening ADV</t>
        </is>
      </c>
      <c r="F15" s="7" t="inlineStr">
        <is>
          <t>Drop extension entities, add fields to ADV</t>
        </is>
      </c>
      <c r="G15" s="7" t="inlineStr">
        <is>
          <t>Medium</t>
        </is>
      </c>
    </row>
    <row r="16">
      <c r="A16" s="7" t="inlineStr">
        <is>
          <t>D-16</t>
        </is>
      </c>
      <c r="B16" s="7" t="inlineStr">
        <is>
          <t>Launchpad / shell</t>
        </is>
      </c>
      <c r="C16" s="7" t="inlineStr">
        <is>
          <t>Option A — S/4's own Fiori launchpad</t>
        </is>
      </c>
      <c r="D16" s="8" t="inlineStr">
        <is>
          <t>YES</t>
        </is>
      </c>
      <c r="E16" s="7" t="inlineStr">
        <is>
          <t>Strongest blend for users who live in S/4; no Work Zone licence or dependency per client</t>
        </is>
      </c>
      <c r="F16" s="7" t="inlineStr">
        <is>
          <t>—</t>
        </is>
      </c>
      <c r="G16" s="7" t="inlineStr">
        <is>
          <t>Easy — app-side work is identical either way</t>
        </is>
      </c>
    </row>
    <row r="17">
      <c r="A17" s="7" t="inlineStr">
        <is>
          <t>D-16</t>
        </is>
      </c>
      <c r="B17" s="7" t="inlineStr"/>
      <c r="C17" s="7" t="inlineStr">
        <is>
          <t>Option B — SAP Build Work Zone</t>
        </is>
      </c>
      <c r="D17" s="7" t="inlineStr"/>
      <c r="E17" s="7" t="inlineStr">
        <is>
          <t>One entry point across S/4 + SuccessFactors + Ariba + extensions; entitled at 1 user per FUE but another moving part per client</t>
        </is>
      </c>
      <c r="F17" s="7" t="inlineStr">
        <is>
          <t>Launchpad configuration only; no application change</t>
        </is>
      </c>
      <c r="G17" s="7" t="inlineStr">
        <is>
          <t>Easy</t>
        </is>
      </c>
    </row>
    <row r="18">
      <c r="A18" s="7" t="inlineStr">
        <is>
          <t>D-16</t>
        </is>
      </c>
      <c r="B18" s="7" t="inlineStr"/>
      <c r="C18" s="7" t="inlineStr">
        <is>
          <t>Standalone app with its own shell</t>
        </is>
      </c>
      <c r="D18" s="7" t="inlineStr"/>
      <c r="E18" s="7" t="inlineStr">
        <is>
          <t>What exists today. Does not blend — duplicates launchpad chrome</t>
        </is>
      </c>
      <c r="F18" s="7" t="inlineStr">
        <is>
          <t>Keep the ToolPage shell</t>
        </is>
      </c>
      <c r="G18" s="7" t="inlineStr">
        <is>
          <t>Easy</t>
        </is>
      </c>
    </row>
    <row r="19">
      <c r="A19" s="7" t="inlineStr">
        <is>
          <t>D-13</t>
        </is>
      </c>
      <c r="B19" s="7" t="inlineStr">
        <is>
          <t>Number ranges</t>
        </is>
      </c>
      <c r="C19" s="7" t="inlineStr">
        <is>
          <t>Configurable scope and pattern per object</t>
        </is>
      </c>
      <c r="D19" s="8" t="inlineStr">
        <is>
          <t>YES</t>
        </is>
      </c>
      <c r="E19" s="7" t="inlineStr">
        <is>
          <t>Serves both client styles from one build</t>
        </is>
      </c>
      <c r="F19" s="7" t="inlineStr">
        <is>
          <t>—</t>
        </is>
      </c>
      <c r="G19" s="7" t="inlineStr">
        <is>
          <t>Easy</t>
        </is>
      </c>
    </row>
    <row r="20">
      <c r="A20" s="7" t="inlineStr">
        <is>
          <t>D-13</t>
        </is>
      </c>
      <c r="B20" s="7" t="inlineStr"/>
      <c r="C20" s="7" t="inlineStr">
        <is>
          <t>Fixed per company, or fixed global</t>
        </is>
      </c>
      <c r="D20" s="7" t="inlineStr"/>
      <c r="E20" s="7" t="inlineStr">
        <is>
          <t>Simpler; forces one convention on every client</t>
        </is>
      </c>
      <c r="F20" s="7" t="inlineStr">
        <is>
          <t>Remove the scope setting</t>
        </is>
      </c>
      <c r="G20" s="7" t="inlineStr">
        <is>
          <t>Easy</t>
        </is>
      </c>
    </row>
    <row r="21">
      <c r="A21" s="7" t="inlineStr">
        <is>
          <t>D-05</t>
        </is>
      </c>
      <c r="B21" s="7" t="inlineStr">
        <is>
          <t>UI approach</t>
        </is>
      </c>
      <c r="C21" s="7" t="inlineStr">
        <is>
          <t>Evolve the existing freestyle UI5 app</t>
        </is>
      </c>
      <c r="D21" s="8" t="inlineStr">
        <is>
          <t>YES</t>
        </is>
      </c>
      <c r="E21" s="7" t="inlineStr">
        <is>
          <t>Keeps the app stakeholders validated; manual binding work per screen</t>
        </is>
      </c>
      <c r="F21" s="7" t="inlineStr">
        <is>
          <t>—</t>
        </is>
      </c>
      <c r="G21" s="7" t="inlineStr">
        <is>
          <t>Medium</t>
        </is>
      </c>
    </row>
    <row r="22">
      <c r="A22" s="7" t="inlineStr">
        <is>
          <t>D-05</t>
        </is>
      </c>
      <c r="B22" s="7" t="inlineStr"/>
      <c r="C22" s="7" t="inlineStr">
        <is>
          <t>Fiori Elements throughout</t>
        </is>
      </c>
      <c r="D22" s="7" t="inlineStr"/>
      <c r="E22" s="7" t="inlineStr">
        <is>
          <t>Fastest across 434 screens; chain strip, wizards and mass-entry grids do not fit the floorplans</t>
        </is>
      </c>
      <c r="F22" s="7" t="inlineStr">
        <is>
          <t>Regenerate screens from annotations</t>
        </is>
      </c>
      <c r="G22" s="7" t="inlineStr">
        <is>
          <t>Medium</t>
        </is>
      </c>
    </row>
    <row r="23">
      <c r="A23" s="7" t="inlineStr">
        <is>
          <t>D-05</t>
        </is>
      </c>
      <c r="B23" s="7" t="inlineStr"/>
      <c r="C23" s="7" t="inlineStr">
        <is>
          <t>Hybrid — FE for masters, freestyle for chain</t>
        </is>
      </c>
      <c r="D23" s="7" t="inlineStr"/>
      <c r="E23" s="7" t="inlineStr">
        <is>
          <t>Best effort/fidelity ratio at scale; two patterns to maintain</t>
        </is>
      </c>
      <c r="F23" s="7" t="inlineStr">
        <is>
          <t>Adopt incrementally, per module</t>
        </is>
      </c>
      <c r="G23" s="7" t="inlineStr">
        <is>
          <t>Easy</t>
        </is>
      </c>
    </row>
    <row r="24">
      <c r="A24" s="7" t="inlineStr">
        <is>
          <t>Q-04</t>
        </is>
      </c>
      <c r="B24" s="7" t="inlineStr">
        <is>
          <t>Attachment storage</t>
        </is>
      </c>
      <c r="C24" s="7" t="inlineStr">
        <is>
          <t>SAP Object Store</t>
        </is>
      </c>
      <c r="D24" s="10" t="inlineStr">
        <is>
          <t>OPEN</t>
        </is>
      </c>
      <c r="E24" s="7" t="inlineStr">
        <is>
          <t>Right for drawings and photos at volume; needs a CF service instance</t>
        </is>
      </c>
      <c r="F24" s="7" t="inlineStr">
        <is>
          <t>—</t>
        </is>
      </c>
      <c r="G24" s="7" t="inlineStr">
        <is>
          <t>Medium once files exist</t>
        </is>
      </c>
    </row>
    <row r="25">
      <c r="A25" s="7" t="inlineStr">
        <is>
          <t>Q-04</t>
        </is>
      </c>
      <c r="B25" s="7" t="inlineStr"/>
      <c r="C25" s="7" t="inlineStr">
        <is>
          <t>HANA LOB</t>
        </is>
      </c>
      <c r="D25" s="10" t="inlineStr">
        <is>
          <t>OPEN</t>
        </is>
      </c>
      <c r="E25" s="7" t="inlineStr">
        <is>
          <t>Simpler, no extra service; costlier at volume and bloats the container</t>
        </is>
      </c>
      <c r="F25" s="7" t="inlineStr">
        <is>
          <t>—</t>
        </is>
      </c>
      <c r="G25" s="7" t="inlineStr">
        <is>
          <t>Medium once files exist</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9"/>
  <sheetViews>
    <sheetView showGridLines="0" workbookViewId="0">
      <pane ySplit="5" topLeftCell="A6" activePane="bottomLeft" state="frozen"/>
      <selection pane="bottomLeft" activeCell="A1" sqref="A1"/>
    </sheetView>
  </sheetViews>
  <sheetFormatPr baseColWidth="8" defaultRowHeight="15"/>
  <cols>
    <col width="8" customWidth="1" min="1" max="1"/>
    <col width="16" customWidth="1" min="2" max="2"/>
    <col width="62" customWidth="1" min="3" max="3"/>
    <col width="50" customWidth="1" min="4" max="4"/>
    <col width="56" customWidth="1" min="5" max="5"/>
    <col width="10" customWidth="1" min="6" max="6"/>
    <col width="12" customWidth="1" min="7" max="7"/>
  </cols>
  <sheetData>
    <row r="1" ht="20" customHeight="1">
      <c r="A1" s="1" t="inlineStr">
        <is>
          <t>Issues, risks and things that broke</t>
        </is>
      </c>
    </row>
    <row r="2">
      <c r="A2" s="2" t="inlineStr">
        <is>
          <t>Defects found and fixed are listed too, so the history is visible</t>
        </is>
      </c>
    </row>
    <row r="5" ht="28" customHeight="1">
      <c r="A5" s="4" t="inlineStr">
        <is>
          <t>ID</t>
        </is>
      </c>
      <c r="B5" s="4" t="inlineStr">
        <is>
          <t>Area</t>
        </is>
      </c>
      <c r="C5" s="4" t="inlineStr">
        <is>
          <t>What happened</t>
        </is>
      </c>
      <c r="D5" s="4" t="inlineStr">
        <is>
          <t>Impact</t>
        </is>
      </c>
      <c r="E5" s="4" t="inlineStr">
        <is>
          <t>Resolution</t>
        </is>
      </c>
      <c r="F5" s="4" t="inlineStr">
        <is>
          <t>Status</t>
        </is>
      </c>
      <c r="G5" s="4" t="inlineStr">
        <is>
          <t>Raised</t>
        </is>
      </c>
    </row>
    <row r="6">
      <c r="A6" s="7" t="inlineStr">
        <is>
          <t>I-49</t>
        </is>
      </c>
      <c r="B6" s="7" t="inlineStr">
        <is>
          <t>UI</t>
        </is>
      </c>
      <c r="C6" s="7" t="inlineStr">
        <is>
          <t>Every user on every tenant was greeted as the same fictional person</t>
        </is>
      </c>
      <c r="D6" s="7" t="inlineStr">
        <is>
          <t>The screens read the signed-in user out of the UI's own JSON fixture, where it was the wireframe persona Sridhar Iyer / Plant Allocation Lead / INFC. It had no relationship to the identity the service enforces against. That is worse than showing nothing in a multi-tenant product: it invites someone to believe they are looking at their own authorization when they are looking at a mock-up, and it hid the fact that no persona is assigned to any real user</t>
        </is>
      </c>
      <c r="E6" s="7" t="inlineStr">
        <is>
          <t>CollaborationService.whoAmI() returns the XSUAA logon name, and the screens display that string rather than a prettier one - it is what the approval trail, the import history and every persona assignment are keyed on, so a friendlier name would mean the identity a person reads is not the identity their actions are filed under. It also reports isAdmin and hasPersona separately, because the Admin scope bypasses the permission model rather than satisfying it and no screen can infer that from the data it is shown</t>
        </is>
      </c>
      <c r="F6" s="11" t="inlineStr">
        <is>
          <t>Closed</t>
        </is>
      </c>
      <c r="G6" s="7" t="inlineStr">
        <is>
          <t>2026-08-25</t>
        </is>
      </c>
    </row>
    <row r="7">
      <c r="A7" s="7" t="inlineStr">
        <is>
          <t>I-50</t>
        </is>
      </c>
      <c r="B7" s="7" t="inlineStr">
        <is>
          <t>Integration</t>
        </is>
      </c>
      <c r="C7" s="7" t="inlineStr">
        <is>
          <t>Organizational values were shipped in a content pack, which cannot be right on more than one tenant</t>
        </is>
      </c>
      <c r="D7" s="7" t="inlineStr">
        <is>
          <t>Plants, purchasing organizations, profit centres, cost centres and project profiles are configuration of the customer's own S/4. The pack that seeded my434396 carried values read off my401381, and a live push came back Profit Center 10001000 does not exist - plausible values that belonged to a different system. Because packs are insert-if-missing, the tenant could not be corrected by shipping a new pack either, which is why konstryx-srv still carries eight S4_* environment overrides</t>
        </is>
      </c>
      <c r="E7" s="7" t="inlineStr">
        <is>
          <t>AdminService.syncOrgFromS4() reads them from the tenant's own S/4 through the ITS_S4 destination into an S4OrgValue mirror, and fills each company from what it finds. Catalogue reads and document reads are kept apart and marked: a catalogue proves a value exists, a live document proves it works and is the only source that says which company code uses it. It fills a blank only when exactly one value fits, overwrites only a value S/4 has never used, and reports an unmapped company rather than guessing INFC -&gt; 3310, which is a business decision and not readable</t>
        </is>
      </c>
      <c r="F7" s="11" t="inlineStr">
        <is>
          <t>Closed</t>
        </is>
      </c>
      <c r="G7" s="7" t="inlineStr">
        <is>
          <t>2026-08-25</t>
        </is>
      </c>
    </row>
    <row r="8">
      <c r="A8" s="7" t="inlineStr">
        <is>
          <t>I-51</t>
        </is>
      </c>
      <c r="B8" s="7" t="inlineStr">
        <is>
          <t>Project Setup</t>
        </is>
      </c>
      <c r="C8" s="7" t="inlineStr">
        <is>
          <t>A project could not be created in the product at all</t>
        </is>
      </c>
      <c r="D8" s="7" t="inlineStr">
        <is>
          <t>The Projects screen was a read-only list. Every project on every tenant arrived in a content pack or a P6 file, which makes the product a demo rather than a product - and it is why the starter-pack question could not be answered without also answering this one</t>
        </is>
      </c>
      <c r="E8" s="7" t="inlineStr">
        <is>
          <t>ProjectService.createProject takes the header and its WBS elements in one call, with a New project dialog behind it. Together deliberately: a project with no WBS element cannot be released, so a create that stopped at the header would manufacture exactly the state PRJ-002 is stuck in - complete-looking and permanently unreleasable. releaseToS4 now pushes immediately instead of only queueing, so a project a person types reaches S/4 on one click; it still writes PENDING first and the push still refuses anything not PENDING, so the release gate is walked rather than bypassed</t>
        </is>
      </c>
      <c r="F8" s="11" t="inlineStr">
        <is>
          <t>Closed</t>
        </is>
      </c>
      <c r="G8" s="7" t="inlineStr">
        <is>
          <t>2026-08-25</t>
        </is>
      </c>
    </row>
    <row r="9">
      <c r="A9" s="7" t="inlineStr">
        <is>
          <t>I-52</t>
        </is>
      </c>
      <c r="B9" s="7" t="inlineStr">
        <is>
          <t>Testing</t>
        </is>
      </c>
      <c r="C9" s="7" t="inlineStr">
        <is>
          <t>The verification suite reached a live S/4 and started creating real projects</t>
        </is>
      </c>
      <c r="D9" s="7" t="inlineStr">
        <is>
          <t>Surfaced by I-51 rather than pre-existing: once release pushed on its own, the regression run began posting Enterprise Projects into whatever tenant the developer's .env named. S4Connection falls back to a gitignored .env when no destination resolves, and that file still held live my401381 credentials. Nothing was created only because the org data is now my434396's and S/4 refused with Profit Center YB101 does not exist - luck, not design</t>
        </is>
      </c>
      <c r="E9" s="7" t="inlineStr">
        <is>
          <t>S4Connection honours an S4_OFFLINE switch that short-circuits resolution before either the destination or the .env is consulted, and run_all.sh sets it. A verification run can no longer reach a tenant regardless of whose machine it runs on. The my401381 communication user still needs rotating - it transited chat transcripts (Q-09p) and is evidently still live</t>
        </is>
      </c>
      <c r="F9" s="11" t="inlineStr">
        <is>
          <t>Closed</t>
        </is>
      </c>
      <c r="G9" s="7" t="inlineStr">
        <is>
          <t>2026-08-25</t>
        </is>
      </c>
    </row>
    <row r="10">
      <c r="A10" s="7" t="inlineStr">
        <is>
          <t>I-01</t>
        </is>
      </c>
      <c r="B10" s="7" t="inlineStr">
        <is>
          <t>CAP build</t>
        </is>
      </c>
      <c r="C10" s="7" t="inlineStr">
        <is>
          <t>BudgetServiceHandler imported com.sap.cds.services.cds.CdsService, which does not exist</t>
        </is>
      </c>
      <c r="D10" s="7" t="inlineStr">
        <is>
          <t>Service would not compile</t>
        </is>
      </c>
      <c r="E10" s="7" t="inlineStr">
        <is>
          <t>Replaced with EventContext</t>
        </is>
      </c>
      <c r="F10" s="11" t="inlineStr">
        <is>
          <t>Closed</t>
        </is>
      </c>
      <c r="G10" s="7" t="inlineStr">
        <is>
          <t>2026-08-15</t>
        </is>
      </c>
    </row>
    <row r="11">
      <c r="A11" s="7" t="inlineStr">
        <is>
          <t>I-02</t>
        </is>
      </c>
      <c r="B11" s="7" t="inlineStr">
        <is>
          <t>CAP build</t>
        </is>
      </c>
      <c r="C11" s="7" t="inlineStr">
        <is>
          <t>pom used cds-starter-spring-boot, which carries no protocol adapter</t>
        </is>
      </c>
      <c r="D11" s="7" t="inlineStr">
        <is>
          <t>All 6 services registered but exposed ZERO HTTP endpoints, silently</t>
        </is>
      </c>
      <c r="E11" s="7" t="inlineStr">
        <is>
          <t>Switched to cds-starter-spring-boot-odata</t>
        </is>
      </c>
      <c r="F11" s="11" t="inlineStr">
        <is>
          <t>Closed</t>
        </is>
      </c>
      <c r="G11" s="7" t="inlineStr">
        <is>
          <t>2026-08-15</t>
        </is>
      </c>
    </row>
    <row r="12">
      <c r="A12" s="7" t="inlineStr">
        <is>
          <t>I-03</t>
        </is>
      </c>
      <c r="B12" s="7" t="inlineStr">
        <is>
          <t>CAP build</t>
        </is>
      </c>
      <c r="C12" s="7" t="inlineStr">
        <is>
          <t>.cdsrc.json set build.target=gen (Node layout)</t>
        </is>
      </c>
      <c r="D12" s="7" t="inlineStr">
        <is>
          <t>Compiled model never reached srv resources; runtime started with an empty catalogue</t>
        </is>
      </c>
      <c r="E12" s="7" t="inlineStr">
        <is>
          <t>Removed; Java build now writes in place</t>
        </is>
      </c>
      <c r="F12" s="11" t="inlineStr">
        <is>
          <t>Closed</t>
        </is>
      </c>
      <c r="G12" s="7" t="inlineStr">
        <is>
          <t>2026-08-15</t>
        </is>
      </c>
    </row>
    <row r="13">
      <c r="A13" s="7" t="inlineStr">
        <is>
          <t>I-04</t>
        </is>
      </c>
      <c r="B13" s="7" t="inlineStr">
        <is>
          <t>CAP build</t>
        </is>
      </c>
      <c r="C13" s="7" t="inlineStr">
        <is>
          <t>CAP Java 3.5.0 rejects cds-compiler 6 from @sap/cds 9</t>
        </is>
      </c>
      <c r="D13" s="7" t="inlineStr">
        <is>
          <t>Every query returned HTTP 500</t>
        </is>
      </c>
      <c r="E13" s="7" t="inlineStr">
        <is>
          <t>Upgraded to cds-services 4.9.3 / Spring Boot 3.5.6</t>
        </is>
      </c>
      <c r="F13" s="11" t="inlineStr">
        <is>
          <t>Closed</t>
        </is>
      </c>
      <c r="G13" s="7" t="inlineStr">
        <is>
          <t>2026-08-15</t>
        </is>
      </c>
    </row>
    <row r="14">
      <c r="A14" s="7" t="inlineStr">
        <is>
          <t>I-05</t>
        </is>
      </c>
      <c r="B14" s="7" t="inlineStr">
        <is>
          <t>Deployment</t>
        </is>
      </c>
      <c r="C14" s="7" t="inlineStr">
        <is>
          <t>mta.yaml declared build-result target/*-exec.jar but build produced konstryx-srv.jar</t>
        </is>
      </c>
      <c r="D14" s="7" t="inlineStr">
        <is>
          <t>A Cloud Foundry deploy would have failed</t>
        </is>
      </c>
      <c r="E14" s="7" t="inlineStr">
        <is>
          <t>Added the exec classifier</t>
        </is>
      </c>
      <c r="F14" s="11" t="inlineStr">
        <is>
          <t>Closed</t>
        </is>
      </c>
      <c r="G14" s="7" t="inlineStr">
        <is>
          <t>2026-08-15</t>
        </is>
      </c>
    </row>
    <row r="15">
      <c r="A15" s="7" t="inlineStr">
        <is>
          <t>I-06</t>
        </is>
      </c>
      <c r="B15" s="7" t="inlineStr">
        <is>
          <t>Deployment</t>
        </is>
      </c>
      <c r="C15" s="7" t="inlineStr">
        <is>
          <t>mta.yaml db-deployer pointed at gen/db, which the Java build does not produce</t>
        </is>
      </c>
      <c r="D15" s="7" t="inlineStr">
        <is>
          <t>HDI deploy would have failed</t>
        </is>
      </c>
      <c r="E15" s="7" t="inlineStr">
        <is>
          <t>Corrected path to db/</t>
        </is>
      </c>
      <c r="F15" s="11" t="inlineStr">
        <is>
          <t>Closed</t>
        </is>
      </c>
      <c r="G15" s="7" t="inlineStr">
        <is>
          <t>2026-08-15</t>
        </is>
      </c>
    </row>
    <row r="16">
      <c r="A16" s="7" t="inlineStr">
        <is>
          <t>I-07</t>
        </is>
      </c>
      <c r="B16" s="7" t="inlineStr">
        <is>
          <t>Data safety</t>
        </is>
      </c>
      <c r="C16" s="7" t="inlineStr">
        <is>
          <t>Demo fixtures were in db/data, which CAP deploys to every environment</t>
        </is>
      </c>
      <c r="D16" s="7" t="inlineStr">
        <is>
          <t>PRJ-001 Marina Heights would have landed in client databases</t>
        </is>
      </c>
      <c r="E16" s="7" t="inlineStr">
        <is>
          <t>Moved 13 fixtures to test/data; both config layers set; cloud profile pins initialization-mode never</t>
        </is>
      </c>
      <c r="F16" s="11" t="inlineStr">
        <is>
          <t>Closed</t>
        </is>
      </c>
      <c r="G16" s="7" t="inlineStr">
        <is>
          <t>2026-08-15</t>
        </is>
      </c>
    </row>
    <row r="17">
      <c r="A17" s="7" t="inlineStr">
        <is>
          <t>I-08</t>
        </is>
      </c>
      <c r="B17" s="7" t="inlineStr">
        <is>
          <t>UI</t>
        </is>
      </c>
      <c r="C17" s="7" t="inlineStr">
        <is>
          <t>Proxy dropped the OData-MaxVersion header</t>
        </is>
      </c>
      <c r="D17" s="7" t="inlineStr">
        <is>
          <t>CAP answered OData-Version 4.01; UI5 V4 model rejected the batch, table silently empty</t>
        </is>
      </c>
      <c r="E17" s="7" t="inlineStr">
        <is>
          <t>Proxy now forwards headers wholesale rather than by allowlist</t>
        </is>
      </c>
      <c r="F17" s="11" t="inlineStr">
        <is>
          <t>Closed</t>
        </is>
      </c>
      <c r="G17" s="7" t="inlineStr">
        <is>
          <t>2026-08-15</t>
        </is>
      </c>
    </row>
    <row r="18">
      <c r="A18" s="7" t="inlineStr">
        <is>
          <t>I-09</t>
        </is>
      </c>
      <c r="B18" s="7" t="inlineStr">
        <is>
          <t>Authorization</t>
        </is>
      </c>
      <c r="C18" s="7" t="inlineStr">
        <is>
          <t>Handler matched the service projection name against the persistence entity name (plural vs singular)</t>
        </is>
      </c>
      <c r="D18" s="7" t="inlineStr">
        <is>
          <t>Handler silently protected NOTHING. Early 403s came from pre-existing service-level @requires, not from the handler</t>
        </is>
      </c>
      <c r="E18" s="7" t="inlineStr">
        <is>
          <t>Resolves the projection to its source entity via CDS model reflection</t>
        </is>
      </c>
      <c r="F18" s="11" t="inlineStr">
        <is>
          <t>Closed</t>
        </is>
      </c>
      <c r="G18" s="7" t="inlineStr">
        <is>
          <t>2026-08-15</t>
        </is>
      </c>
    </row>
    <row r="19">
      <c r="A19" s="7" t="inlineStr">
        <is>
          <t>I-10</t>
        </is>
      </c>
      <c r="B19" s="7" t="inlineStr">
        <is>
          <t>Authorization</t>
        </is>
      </c>
      <c r="C19" s="7" t="inlineStr">
        <is>
          <t>CQL.copy with a Modifier only fires where() when a WHERE already exists</t>
        </is>
      </c>
      <c r="D19" s="7" t="inlineStr">
        <is>
          <t>Unfiltered list requests — the common case — passed through unrestricted</t>
        </is>
      </c>
      <c r="E19" s="7" t="inlineStr">
        <is>
          <t>Switched to Select.copy with an explicit predicate</t>
        </is>
      </c>
      <c r="F19" s="11" t="inlineStr">
        <is>
          <t>Closed</t>
        </is>
      </c>
      <c r="G19" s="7" t="inlineStr">
        <is>
          <t>2026-08-15</t>
        </is>
      </c>
    </row>
    <row r="20">
      <c r="A20" s="7" t="inlineStr">
        <is>
          <t>I-11</t>
        </is>
      </c>
      <c r="B20" s="7" t="inlineStr">
        <is>
          <t>Authorization</t>
        </is>
      </c>
      <c r="C20" s="7" t="inlineStr">
        <is>
          <t>Select.where() replaced rather than ANDed the caller's filter</t>
        </is>
      </c>
      <c r="D20" s="7" t="inlineStr">
        <is>
          <t>User $filter was discarded; more rows returned than requested</t>
        </is>
      </c>
      <c r="E20" s="7" t="inlineStr">
        <is>
          <t>Existing predicate now combined explicitly with CQL.and</t>
        </is>
      </c>
      <c r="F20" s="11" t="inlineStr">
        <is>
          <t>Closed</t>
        </is>
      </c>
      <c r="G20" s="7" t="inlineStr">
        <is>
          <t>2026-08-15</t>
        </is>
      </c>
    </row>
    <row r="21">
      <c r="A21" s="7" t="inlineStr">
        <is>
          <t>I-12</t>
        </is>
      </c>
      <c r="B21" s="7" t="inlineStr">
        <is>
          <t>Deployment</t>
        </is>
      </c>
      <c r="C21" s="7" t="inlineStr">
        <is>
          <t>mta.yaml had no approuter, so nothing a browser could reach</t>
        </is>
      </c>
      <c r="D21" s="7" t="inlineStr">
        <is>
          <t>The project had never produced a deployable archive</t>
        </is>
      </c>
      <c r="E21" s="7" t="inlineStr">
        <is>
          <t>Approuter added with XSUAA login and token forwarding; mbt build now produces konstryx_0.1.0.mtar (68.9 MB) with the exec jar, router, 234 HDI artifacts and xs-security.json</t>
        </is>
      </c>
      <c r="F21" s="11" t="inlineStr">
        <is>
          <t>Closed</t>
        </is>
      </c>
      <c r="G21" s="7" t="inlineStr">
        <is>
          <t>2026-08-15</t>
        </is>
      </c>
    </row>
    <row r="22">
      <c r="A22" s="7" t="inlineStr">
        <is>
          <t>I-24</t>
        </is>
      </c>
      <c r="B22" s="7" t="inlineStr">
        <is>
          <t>Deployment</t>
        </is>
      </c>
      <c r="C22" s="7" t="inlineStr">
        <is>
          <t>No BTP target available for KONSTRYX</t>
        </is>
      </c>
      <c r="D22" s="7" t="inlineStr">
        <is>
          <t>The CF CLI is targeted at an unrelated client subaccount (LAND MARK INTERNATIONAL) and its token has expired. The archive is built but cannot be pushed</t>
        </is>
      </c>
      <c r="E22" s="7" t="inlineStr">
        <is>
          <t>Needs a KONSTRYX subaccount with Cloud Foundry, HANA Cloud and XSUAA entitlements, and a fresh cf login</t>
        </is>
      </c>
      <c r="F22" s="10" t="inlineStr">
        <is>
          <t>Open</t>
        </is>
      </c>
      <c r="G22" s="7" t="inlineStr">
        <is>
          <t>2026-08-15</t>
        </is>
      </c>
    </row>
    <row r="23">
      <c r="A23" s="7" t="inlineStr">
        <is>
          <t>I-13</t>
        </is>
      </c>
      <c r="B23" s="7" t="inlineStr">
        <is>
          <t>Demo data</t>
        </is>
      </c>
      <c r="C23" s="7" t="inlineStr">
        <is>
          <t>Wireframe request header (716,044) does not reconcile with its own line values (685,080)</t>
        </is>
      </c>
      <c r="D23" s="7" t="inlineStr">
        <is>
          <t>Any stakeholder demo shows inconsistent totals</t>
        </is>
      </c>
      <c r="E23" s="7" t="inlineStr">
        <is>
          <t>—</t>
        </is>
      </c>
      <c r="F23" s="10" t="inlineStr">
        <is>
          <t>Open</t>
        </is>
      </c>
      <c r="G23" s="7" t="inlineStr">
        <is>
          <t>2026-08-15</t>
        </is>
      </c>
    </row>
    <row r="24">
      <c r="A24" s="7" t="inlineStr">
        <is>
          <t>I-14</t>
        </is>
      </c>
      <c r="B24" s="7" t="inlineStr">
        <is>
          <t>Plan</t>
        </is>
      </c>
      <c r="C24" s="7" t="inlineStr">
        <is>
          <t>Personalization, attachments and approvals on every object were not in the 22-week MVP estimate</t>
        </is>
      </c>
      <c r="D24" s="7" t="inlineStr">
        <is>
          <t>Plan credibility; 434 screens each inherit this layer</t>
        </is>
      </c>
      <c r="E24" s="7" t="inlineStr">
        <is>
          <t>—</t>
        </is>
      </c>
      <c r="F24" s="10" t="inlineStr">
        <is>
          <t>Open</t>
        </is>
      </c>
      <c r="G24" s="7" t="inlineStr">
        <is>
          <t>2026-08-15</t>
        </is>
      </c>
    </row>
    <row r="25">
      <c r="A25" s="7" t="inlineStr">
        <is>
          <t>I-15</t>
        </is>
      </c>
      <c r="B25" s="7" t="inlineStr">
        <is>
          <t>Authorization</t>
        </is>
      </c>
      <c r="C25" s="7" t="inlineStr">
        <is>
          <t>Admin persona cannot read workflow/project services</t>
        </is>
      </c>
      <c r="D25" s="7" t="inlineStr">
        <is>
          <t>Service-level @requires still gates entry by XSUAA role; the Admin mock user lacks those roles</t>
        </is>
      </c>
      <c r="E25" s="7" t="inlineStr">
        <is>
          <t>By design today, but role collections need reviewing before go-live</t>
        </is>
      </c>
      <c r="F25" s="10" t="inlineStr">
        <is>
          <t>Open</t>
        </is>
      </c>
      <c r="G25" s="7" t="inlineStr">
        <is>
          <t>2026-08-15</t>
        </is>
      </c>
    </row>
    <row r="26">
      <c r="A26" s="7" t="inlineStr">
        <is>
          <t>I-17</t>
        </is>
      </c>
      <c r="B26" s="7" t="inlineStr">
        <is>
          <t>Authorization</t>
        </is>
      </c>
      <c r="C26" s="7" t="inlineStr">
        <is>
          <t>Enforcement broke every worklist request with HTTP 500</t>
        </is>
      </c>
      <c r="D26" s="7" t="inlineStr">
        <is>
          <t>The handler filters on catalogue paths project.code and company.code, but RequestOverview is a grouped projection that exposed projectCode as a flat string and dropped both associations. Missed because enforcement was verified against the service directly and the UI was not re-tested after</t>
        </is>
      </c>
      <c r="E26" s="7" t="inlineStr">
        <is>
          <t>View now exposes the project and company associations. Worth adding a startup check that every declared path resolves on every projection, so this fails at boot rather than per request</t>
        </is>
      </c>
      <c r="F26" s="11" t="inlineStr">
        <is>
          <t>Closed</t>
        </is>
      </c>
      <c r="G26" s="7" t="inlineStr">
        <is>
          <t>2026-08-15</t>
        </is>
      </c>
    </row>
    <row r="27">
      <c r="A27" s="7" t="inlineStr">
        <is>
          <t>I-18</t>
        </is>
      </c>
      <c r="B27" s="7" t="inlineStr">
        <is>
          <t>UI</t>
        </is>
      </c>
      <c r="C27" s="7" t="inlineStr">
        <is>
          <t>Local FLP sandbox does not boot</t>
        </is>
      </c>
      <c r="D27" s="7" t="inlineStr">
        <is>
          <t>flp.html fails with 'Cannot read properties of null (reading src)'. sandbox2 is deprecated since 1.136 and the newer sap/ushell/sandbox boot contract differs</t>
        </is>
      </c>
      <c r="E27" s="7" t="inlineStr">
        <is>
          <t>Open — either finish the sandbox boot or verify launchpad integration directly on BTP</t>
        </is>
      </c>
      <c r="F27" s="10" t="inlineStr">
        <is>
          <t>Open</t>
        </is>
      </c>
      <c r="G27" s="7" t="inlineStr">
        <is>
          <t>2026-08-15</t>
        </is>
      </c>
    </row>
    <row r="28">
      <c r="A28" s="7" t="inlineStr">
        <is>
          <t>I-16</t>
        </is>
      </c>
      <c r="B28" s="7" t="inlineStr">
        <is>
          <t>Upgrade safety</t>
        </is>
      </c>
      <c r="C28" s="7" t="inlineStr">
        <is>
          <t>Client configuration in db/data is reset on every upgrade</t>
        </is>
      </c>
      <c r="D28" s="7" t="inlineStr">
        <is>
          <t>cds build --production generates konstryx.nr-NumberRangeObject.hdbtabledata. HDI re-imports managed rows on redeploy, so a client who changes a number range scope or pattern would silently have it reverted at the next upgrade</t>
        </is>
      </c>
      <c r="E28" s="7" t="inlineStr">
        <is>
          <t>Fixed: configurable content moved to versioned packs applied insert-if-missing. Proven — client re-scoped RR to COMPANY, an upgrade pack containing an RR row was applied, RR kept the client's scope and only the new row arrived</t>
        </is>
      </c>
      <c r="F28" s="11" t="inlineStr">
        <is>
          <t>Closed</t>
        </is>
      </c>
      <c r="G28" s="7" t="inlineStr">
        <is>
          <t>2026-08-15</t>
        </is>
      </c>
    </row>
    <row r="29">
      <c r="A29" s="7" t="inlineStr">
        <is>
          <t>I-19</t>
        </is>
      </c>
      <c r="B29" s="7" t="inlineStr">
        <is>
          <t>Content packs</t>
        </is>
      </c>
      <c r="C29" s="7" t="inlineStr">
        <is>
          <t>Packs applied in filename order, not version order</t>
        </is>
      </c>
      <c r="D29" s="7" t="inlineStr">
        <is>
          <t>number-ranges-v2.json sorted before number-ranges.json because '-' precedes '.', so 1.0.1 applied before 1.0.0 and the base pack reported its own rows as pre-existing</t>
        </is>
      </c>
      <c r="E29" s="7" t="inlineStr">
        <is>
          <t>Sort by packId then zero-padded version segments, so 1.0.10 follows 1.0.9</t>
        </is>
      </c>
      <c r="F29" s="11" t="inlineStr">
        <is>
          <t>Closed</t>
        </is>
      </c>
      <c r="G29" s="7" t="inlineStr">
        <is>
          <t>2026-08-15</t>
        </is>
      </c>
    </row>
    <row r="30">
      <c r="A30" s="7" t="inlineStr">
        <is>
          <t>I-29</t>
        </is>
      </c>
      <c r="B30" s="7" t="inlineStr">
        <is>
          <t>Services</t>
        </is>
      </c>
      <c r="C30" s="7" t="inlineStr">
        <is>
          <t>ProjectService dropped associations to master data</t>
        </is>
      </c>
      <c r="D30" s="7" t="inlineStr">
        <is>
          <t>CAP omits an association whose target is not exposed in the same service, so a project CBS node could not say which library node it came from and a planned resource could not name its resource. ProjectResources was unusable in a UI</t>
        </is>
      </c>
      <c r="E30" s="7" t="inlineStr">
        <is>
          <t>Expose ResourceCatalog and CBSLibrary read-only in ProjectService for resolution; maintenance stays in MasterDataService</t>
        </is>
      </c>
      <c r="F30" s="11" t="inlineStr">
        <is>
          <t>Closed</t>
        </is>
      </c>
      <c r="G30" s="7" t="inlineStr">
        <is>
          <t>2026-08-15</t>
        </is>
      </c>
    </row>
    <row r="31">
      <c r="A31" s="7" t="inlineStr">
        <is>
          <t>I-27</t>
        </is>
      </c>
      <c r="B31" s="7" t="inlineStr">
        <is>
          <t>Test data</t>
        </is>
      </c>
      <c r="C31" s="7" t="inlineStr">
        <is>
          <t>Seed data violated the model's own hierarchy rule</t>
        </is>
      </c>
      <c r="D31" s="7" t="inlineStr">
        <is>
          <t>Every resource was an L5 with no parent, so activation failed with 'L5 needs a parent at L4' and no seeded master could be edited or saved. 'Below this node' was empty on every page</t>
        </is>
      </c>
      <c r="E31" s="7" t="inlineStr">
        <is>
          <t>Replaced with a real L1-L5 tree of 28 nodes, leaf IDs preserved so rates and request lines still resolve</t>
        </is>
      </c>
      <c r="F31" s="11" t="inlineStr">
        <is>
          <t>Closed</t>
        </is>
      </c>
      <c r="G31" s="7" t="inlineStr">
        <is>
          <t>2026-08-15</t>
        </is>
      </c>
    </row>
    <row r="32">
      <c r="A32" s="7" t="inlineStr">
        <is>
          <t>I-40</t>
        </is>
      </c>
      <c r="B32" s="7" t="inlineStr">
        <is>
          <t>Deployment</t>
        </is>
      </c>
      <c r="C32" s="7" t="inlineStr">
        <is>
          <t>The first real Cloud Foundry deployment: six blockers, none reachable by the test suite</t>
        </is>
      </c>
      <c r="D32" s="7" t="inlineStr">
        <is>
          <t>KONSTRYX had never been deployed. mta.yaml, the db module and the cloud Spring profile were all written ahead of ever being run, and each was wrong in a way only execution could expose. In order: (1) the subaccount lacked the SAP HANA Schemas &amp; HDI Containers entitlement, so service plan hdi-shared did not exist - you added it; (2) db/ had no package.json at all, so the HDI deployer task died on npm ENOENT every attempt; (3) that same missing file made mbt's npm install --production walk UP to the repo root and prune it, deleting @sap/cds-dk and breaking the NEXT maven build with 'cds is not recognized' in a module nobody had touched; (4) the start script carried --use-hdb-container-key, a 4.x-only flag removed in hdi-deploy 5; (5) hdi-deploy 5 needs @sap/hana-client as a peer where 4.x bundled a driver; (6) the cloud profile declared cds.remote.services for S4/ARIBA/SF with no EDMX imported and no consumer, so the Java service crash-looped on CdsDefinitionNotFoundException</t>
        </is>
      </c>
      <c r="E32" s="7" t="inlineStr">
        <is>
          <t>All fixed and committed. Deployment succeeds: HDI reports 243 files deployed / 0 warnings, konstryx-srv connects to HANA and starts in 5.5s, srv and approuter both 1/1, OData returns 401 unauthenticated and the approuter 302s into the XSUAA login</t>
        </is>
      </c>
      <c r="F32" s="11" t="inlineStr">
        <is>
          <t>Closed</t>
        </is>
      </c>
      <c r="G32" s="7" t="inlineStr">
        <is>
          <t>2026-08-17</t>
        </is>
      </c>
    </row>
    <row r="33">
      <c r="A33" s="7" t="inlineStr">
        <is>
          <t>B-10</t>
        </is>
      </c>
      <c r="B33" s="7" t="inlineStr">
        <is>
          <t>Business</t>
        </is>
      </c>
      <c r="C33" s="7" t="inlineStr">
        <is>
          <t>The S/4 connection runs through the ITS_S4 destination</t>
        </is>
      </c>
      <c r="D33" s="7" t="inlineStr">
        <is>
          <t>S4Connection read S4_HOST / S4_USER / S4_PASSWORD straight from the environment on EVERY environment, Cloud Foundry included. Its own class comment claimed the destination service would replace it in production - the seam was described but never built, so a deployed instance would have needed a communication-user password in its environment, and rotating that user meant a redeploy. Ziya named ITS_S4 as the destination on 2026-08-17 and it had stayed open since</t>
        </is>
      </c>
      <c r="E33" s="7" t="inlineStr">
        <is>
          <t>Resolves the destination by name through the Cloud SDK (DestinationAccessor), overridable per environment with S4_DESTINATION, falling back to the .env path only where no destination service is bound. Destination headers are asked for PER REQUEST rather than cached: for Basic authentication that changes nothing, but for OAuth the SDK is minting and refreshing a token behind the call and a cached header would work exactly until the first expiry. Resolution moved to startup so the log states which mode an instance is in - the first question anyone asks when a sync misbehaves, and a lazily-resolved connection only answers it after something has already gone wrong. Both connectors are untouched: they get requests executed, never credentials</t>
        </is>
      </c>
      <c r="F33" s="7" t="inlineStr">
        <is>
          <t>Done - the fallback path; the destination path is unverified</t>
        </is>
      </c>
      <c r="G33" s="7" t="inlineStr">
        <is>
          <t>Both branches of the resolver verified live at startup: the local run logs 'Destination ITS_S4 did not resolve (DestinationNotFoundException); falling back to the local environment' followed by 'S/4 connection configured locally for https://my401381-api.s4hana.cloud.sap', which is the expected pair on a machine with no destination service. Full regression 15 suites / 424 checks green</t>
        </is>
      </c>
      <c r="H33" s="7" t="inlineStr">
        <is>
          <t>THE DESTINATION BRANCH HAS NOT RUN. It cannot be exercised locally - there is no destination service to bind - and deployment is paused, so the first real test is the next deploy. mta.yaml already binds konstryx-srv to konstryx-destination, so no descriptor change was needed; the destination itself must be created in the SUBACCOUNT, never in mta.yaml, because a destination declared in the descriptor would put a communication-user password in the repository</t>
        </is>
      </c>
    </row>
    <row r="34">
      <c r="A34" s="7" t="inlineStr">
        <is>
          <t>I-47</t>
        </is>
      </c>
      <c r="B34" s="7" t="inlineStr">
        <is>
          <t>Deployment</t>
        </is>
      </c>
      <c r="C34" s="7" t="inlineStr">
        <is>
          <t>The MTA build shipped a week-old database schema, and HDI deployed it happily</t>
        </is>
      </c>
      <c r="D34" s="7" t="inlineStr">
        <is>
          <t>The konstryx-db-deployer module had no build step, so mbt packaged whatever db/src/gen already contained. That directory was last generated on 17 Aug. Five days of model changes - s4Material on ResourceNode (I-35), then s4ServiceProduct and the RateMaster routing columns (I-44) - never reached HANA. HDI deployed the stale artifacts, reported the task SUCCEEDED, and the service then failed every read of konstryx.master.ResourceNode with 'invalid column name: T0.S4MATERIAL_ID', which took down the whole MASTER_DATA content pack. Nothing in the build or the deploy said anything was wrong: a stale generated artifact deploys perfectly, and it is the application that breaks, later, somewhere else</t>
        </is>
      </c>
      <c r="E34" s="7" t="inlineStr">
        <is>
          <t>mta.yaml now runs `npx cds build --production` as the db module's build command, so the HDI artifacts are regenerated from the current model on every build and cannot drift again. Verified by extracting the hdbtable out of the built mtar before deploying, not by trusting the build log</t>
        </is>
      </c>
      <c r="F34" s="11" t="inlineStr">
        <is>
          <t>Closed</t>
        </is>
      </c>
      <c r="G34" s="7" t="inlineStr">
        <is>
          <t>2026-08-24</t>
        </is>
      </c>
    </row>
    <row r="35">
      <c r="A35" s="7" t="inlineStr">
        <is>
          <t>I-48</t>
        </is>
      </c>
      <c r="B35" s="7" t="inlineStr">
        <is>
          <t>Deployment</t>
        </is>
      </c>
      <c r="C35" s="7" t="inlineStr">
        <is>
          <t>Wiring the destination loader crash-looped the service on a version clash</t>
        </is>
      </c>
      <c r="D35" s="7" t="inlineStr">
        <is>
          <t>connectivity-destination-service is genuinely required - cloudplatform-connectivity gives you the DestinationAccessor API but registers only EnvVarDestinationLoader, so ITS_S4 could never resolve however well the subaccount was configured. Adding it dragged com.sap.cloud.security java-security / java-api / env from 3.7.4 to 4.0.7 by nearest-wins, while CAP's own spring-security stayed at 3.7.4 and calls JwtValidatorBuilder.withHttpClient(CloseableHttpClient), which 4.0.7 removed. The failure named neither the dependency nor the destination: it was a NoSuchMethodError during Spring Security bean creation, and it crash-looped konstryx-srv on a live space</t>
        </is>
      </c>
      <c r="E35" s="7" t="inlineStr">
        <is>
          <t>Reverted first to restore service, diagnosed with `mvn -pl srv dependency:tree`, then fixed forward: dependencyManagement pins those three artifacts to the 3.7.4 line CAP is built against. Also widened S4Connection's resolver to catch LinkageError as well as RuntimeException - reaching S/4 is optional infrastructure and a classpath fault in it must degrade the connection to unconfigured, never take the service down. The crash was not a total loss: before dying, that build logged 'S/4 connection uses destination ITS_S4 -&gt; https://my434396-api.s4hana.cloud.sap', which is how we know the destination exists and the loader works</t>
        </is>
      </c>
      <c r="F35" s="11" t="inlineStr">
        <is>
          <t>Closed</t>
        </is>
      </c>
      <c r="G35" s="7" t="inlineStr">
        <is>
          <t>2026-08-24</t>
        </is>
      </c>
    </row>
    <row r="36">
      <c r="A36" s="7" t="inlineStr">
        <is>
          <t>I-49</t>
        </is>
      </c>
      <c r="B36" s="7" t="inlineStr">
        <is>
          <t>Integration</t>
        </is>
      </c>
      <c r="C36" s="7" t="inlineStr">
        <is>
          <t>The requisition payload named three things S/4 does not call by those names</t>
        </is>
      </c>
      <c r="D36" s="7" t="inlineStr">
        <is>
          <t>Once SAP_COM_0102 was activated, the connector was checked against the tenant's own $metadata instead of against documentation. The V4 shape was right - ISO dates, navigation properties, a top-level response - and so was the service path, every header property and all eleven item properties. Three names were wrong: the entity set is PurchaseReqn not PurchaseRequisition, the item-to-account navigation is _PurchaseReqnAcctAssgmt not _PurReqnAcctAssgmt, and the account property is PurchaseReqnAcctAssgmtNumber not PurReqnAcctAssgmtNumber. Note the trap: the header-to-item navigation really IS spelled out as _PurchaseRequisitionItem while its sibling is abbreviated, so guessing consistently would have got one of the two wrong whichever way it guessed</t>
        </is>
      </c>
      <c r="E36" s="7" t="inlineStr">
        <is>
          <t>Corrected. Read via S4Probe, a read-only startup probe added for the purpose: the credentials that work live in the ITS_S4 destination on the deployed app, not on a developer machine, so the metadata had to be read from there. It is gated on the S4_PROBE environment variable - set it, restart, read the log, unset it - and only ever issues a GET. Two things it taught along the way: S/4 answers $metadata with 406 if the Accept header asks for JSON only, which reads exactly like a wrong service path; and an EntitySet and its EntityType do not share a name (PurchaseReqn vs PurchaseReqnType), so the probe now discovers the type names rather than assuming them</t>
        </is>
      </c>
      <c r="F36" s="11" t="inlineStr">
        <is>
          <t>Closed</t>
        </is>
      </c>
      <c r="G36" s="7" t="inlineStr">
        <is>
          <t>2026-08-24</t>
        </is>
      </c>
    </row>
    <row r="37">
      <c r="A37" s="7" t="inlineStr">
        <is>
          <t>I-43</t>
        </is>
      </c>
      <c r="B37" s="7" t="inlineStr">
        <is>
          <t>Integration</t>
        </is>
      </c>
      <c r="C37" s="7" t="inlineStr">
        <is>
          <t>The requisition push targeted the wrong API and the wrong communication scenario</t>
        </is>
      </c>
      <c r="D37" s="7" t="inlineStr">
        <is>
          <t>Built on 2026-08-19 against API_PURCHASEREQ_PROCESS_SRV under SAP_COM_0053, both carried forward from an older working note rather than checked. The consolidated requirements V02 §15.2 row 9 and RB-145 put the requisition on API_PURCHASEREQUISITION_2 under SAP_COM_0102. SAP_COM_0053 appears 22 times in V02 and is attached to the PURCHASE ORDER every single time, never to a requisition — so the connector would have been pointed at the order scenario. Worse for the record, SAP_COM_0193, which the tracker and the project memory both cited for the order, appears NOWHERE in V02; it was invented somewhere upstream and repeated</t>
        </is>
      </c>
      <c r="E37" s="7" t="inlineStr">
        <is>
          <t>Connector repointed. The API change is not just a rename: API_PURCHASEREQUISITION_2 is the V4-generation API, so the payload moved from V2 conventions (/Date(millis)/ dates, to_ navigation sets, a d-wrapped response) to V4 (ISO dates, _-prefixed navigation properties, a top-level response), and the error reader now handles both shapes. The service root is env-overridable via S4_PR_SERVICE because it is the single most likely thing still to be wrong. Docs corrected in the same pass, including the scenario table that carried SAP_COM_0193</t>
        </is>
      </c>
      <c r="F37" s="11" t="inlineStr">
        <is>
          <t>Closed</t>
        </is>
      </c>
      <c r="G37" s="7" t="inlineStr">
        <is>
          <t>2026-08-24</t>
        </is>
      </c>
    </row>
    <row r="38">
      <c r="A38" s="7" t="inlineStr">
        <is>
          <t>I-44</t>
        </is>
      </c>
      <c r="B38" s="7" t="inlineStr">
        <is>
          <t>Master data</t>
        </is>
      </c>
      <c r="C38" s="7" t="inlineStr">
        <is>
          <t>Only a material could be ordered, so nothing hired could be</t>
        </is>
      </c>
      <c r="D38" s="7" t="inlineStr">
        <is>
          <t>ResourceNode carried s4Material and nothing else, which meant a requisition line could name a product to buy and nothing else. Every non-material class was therefore unorderable: a hired crane, labour supplied by an LSC, a subcontracted package. The consolidated requirements make this a first-class rule — spec §8 / principle P10, class routes the leaf to S/4 — and state the consequence plainly: a leaf that carries neither an activity type nor a service product cannot be costed, and one carrying both without declaring which applies will be costed twice. The 2026-08-17 ruling of material-number-only predates V02 and was made against the v12 masters screen, which does not show this</t>
        </is>
      </c>
      <c r="E38" s="7" t="inlineStr">
        <is>
          <t>Split across the two places the wireframe itself splits it, which turns out to preserve the original ruling rather than overturn it — one material per resource still holds, because a material is source-independent. (1) ResourceNode.s4ServiceProduct: the GENERIC service product, what a requisition orders, because a requisition is raised before a vendor exists and naming one vendor catalogue code on a pre-award document would pre-decide the award. (2) RateMaster gains source (IN_HOUSE / HIRED / LSC_HIRED), vendor, s4ActivityType and s4ServiceProduct: what a COST posts against. Source is the declaration that stops double-costing — in-house carries an activity type and no vendor, hired carries a vendor and that vendor own service product, and a row carrying both is refused. raisePurchaseRequisition now resolves by class: MR takes the material, everything else takes the service product</t>
        </is>
      </c>
      <c r="F38" s="11" t="inlineStr">
        <is>
          <t>Closed</t>
        </is>
      </c>
      <c r="G38" s="7" t="inlineStr">
        <is>
          <t>2026-08-24</t>
        </is>
      </c>
    </row>
    <row r="39">
      <c r="A39" s="7" t="inlineStr">
        <is>
          <t>I-45</t>
        </is>
      </c>
      <c r="B39" s="7" t="inlineStr">
        <is>
          <t>Master data</t>
        </is>
      </c>
      <c r="C39" s="7" t="inlineStr">
        <is>
          <t>The rate uniqueness rule would have refused the product's own specified data</t>
        </is>
      </c>
      <c r="D39" s="7" t="inlineStr">
        <is>
          <t>Rates were unique on resource + effectiveFrom + scope. The wireframe's manpower master lists MP-CIV-CAR-SK-G1 three times on the same day at three rates — our payroll at AED 28.50/hr, Alpha Civil at 24.00, Beta Labour at 23.50 — because a rate is not a property of the resource alone. Keying on resource would have called two of those a duplicate and refused them. Found while adding source and vendor, not by a failing test: nothing had ever tried to seed the second row</t>
        </is>
      </c>
      <c r="E39" s="7" t="inlineStr">
        <is>
          <t>Key widened to resource + source + vendor + effectiveFrom + scope. The seeded fixture now carries the in-house and Alpha Civil rows on the same day, which is the case the old rule rejected, and test_rates asserts both survive as well as asserting the narrow duplicate is still a 409</t>
        </is>
      </c>
      <c r="F39" s="11" t="inlineStr">
        <is>
          <t>Closed</t>
        </is>
      </c>
      <c r="G39" s="7" t="inlineStr">
        <is>
          <t>2026-08-24</t>
        </is>
      </c>
    </row>
    <row r="40">
      <c r="A40" s="7" t="inlineStr">
        <is>
          <t>I-46</t>
        </is>
      </c>
      <c r="B40" s="7" t="inlineStr">
        <is>
          <t>Authorization</t>
        </is>
      </c>
      <c r="C40" s="7" t="inlineStr">
        <is>
          <t>The persona that maintains rates could not see what a rate now names</t>
        </is>
      </c>
      <c r="D40" s="7" t="inlineStr">
        <is>
          <t>A consequence of I-44 rather than a pre-existing defect. Once a rate names the vendor whose contract it belongs to and the S/4 service product it is procured against, the master-data steward has to be able to read both to maintain one — and MD_STEWARD had full CRUD on KX_RATE but no grant at all on KX_VENDOR or KX_MATERIAL. Surfaced as a 403 in the new test, not by inspection</t>
        </is>
      </c>
      <c r="E40" s="7" t="inlineStr">
        <is>
          <t>Granted activity 03 (display) on both, and only 03: they are S/4 mirrors, and DM-01 says a mirror is not ours to edit. PERSONAS content pack bumped 1.0.0 to 1.1.0 so an existing installation picks the grants up</t>
        </is>
      </c>
      <c r="F40" s="11" t="inlineStr">
        <is>
          <t>Closed</t>
        </is>
      </c>
      <c r="G40" s="7" t="inlineStr">
        <is>
          <t>2026-08-24</t>
        </is>
      </c>
    </row>
    <row r="41">
      <c r="A41" s="7" t="inlineStr">
        <is>
          <t>I-42</t>
        </is>
      </c>
      <c r="B41" s="7" t="inlineStr">
        <is>
          <t>Integration</t>
        </is>
      </c>
      <c r="C41" s="7" t="inlineStr">
        <is>
          <t>Every WBS element pushed to S/4 forgot what S/4 called it</t>
        </is>
      </c>
      <c r="D41" s="7" t="inlineStr">
        <is>
          <t>S4ProjectConnector created each WBS element under the project and threw the response away, counting successes and failures but recording neither key. WBSElement carries the s4outbound aspect, so it HAS an s4Key field - it was simply never written, on any row, since the connector was built. Nothing noticed because the only consumer until now was the project header, which does record its own key. It surfaced the moment the requisition push needed to name the account assignment: the WBS element as S/4 knows it</t>
        </is>
      </c>
      <c r="E41" s="7" t="inlineStr">
        <is>
          <t>The connector now records each element's key from S/4's own response body, plus SENT/FAILED and the refusal text, incrementing that element's own syncAttempts. Deliberately NOT re-derived from the KONSTRYX code by repeating the connector's normalising rule - a second copy of that rule would be a guess the moment S/4 truncated or renamed anything. The requisition push refuses a line whose WBS has no key rather than inventing one</t>
        </is>
      </c>
      <c r="F41" s="11" t="inlineStr">
        <is>
          <t>Closed</t>
        </is>
      </c>
      <c r="G41" s="7" t="inlineStr">
        <is>
          <t>2026-08-19</t>
        </is>
      </c>
    </row>
    <row r="42">
      <c r="A42" s="7" t="inlineStr">
        <is>
          <t>I-41</t>
        </is>
      </c>
      <c r="B42" s="7" t="inlineStr">
        <is>
          <t>UI</t>
        </is>
      </c>
      <c r="C42" s="7" t="inlineStr">
        <is>
          <t>The deployed app serves no UI - the jar carries none</t>
        </is>
      </c>
      <c r="D42" s="7" t="inlineStr">
        <is>
          <t>Confirmed against the built artifact rather than inferred: jar tf konstryx-srv-exec.jar lists 57 service classes and zero UI assets. mta.yaml's comment claims konstryx-srv already serves the SAPUI5 app as static content, which is not true - there is no srv/src/main/resources/static and no copy step in srv/pom.xml. Separately index.html bootstraps UI5 from a relative resources/sap-ui-core.js, which serve.py proxies to a runtime on the developer's local disk and which nothing serves in CF. The approuter's /konstryx-ui/* route forwards to a service with nothing behind it</t>
        </is>
      </c>
      <c r="E42" s="7" t="inlineStr">
        <is>
          <t>Open - this is Q-11. html5-apps-repo IS entitled in this space, which is the clean answer: build the UI as its own MTA module into the HTML5 application repository rather than packaging it into the Java jar. The launchpad tile (semantic object + action, per your ruling) needs this finished behind it or the tile launches a 404</t>
        </is>
      </c>
      <c r="F42" s="10" t="inlineStr">
        <is>
          <t>Open</t>
        </is>
      </c>
      <c r="G42" s="7" t="inlineStr">
        <is>
          <t>2026-08-17</t>
        </is>
      </c>
    </row>
    <row r="43">
      <c r="A43" s="7" t="inlineStr">
        <is>
          <t>I-35</t>
        </is>
      </c>
      <c r="B43" s="7" t="inlineStr">
        <is>
          <t>Integration</t>
        </is>
      </c>
      <c r="C43" s="7" t="inlineStr">
        <is>
          <t>A resource has no S/4 material number, so a requisition cannot name what to buy</t>
        </is>
      </c>
      <c r="D43" s="7" t="inlineStr">
        <is>
          <t>master.ResourceNode is the KONSTRYX resource code (L1-L5) and master.Material is the separate S/4 product mirror, but nothing links them — ResourceNode has no material field and Material has no resource field. The requisition therefore carries the resource and its description, which is enough for the KONSTRYX side but not enough to POST to API_PURCHASEREQ_PROCESS_SRV, which needs the S/4 material number. The wireframe already shows this mapping existing (masters.html renders resource rows with an S/4 material column, e.g. MAT-STL-SS316-12 against 100024780), so the intent is there and only the model is missing</t>
        </is>
      </c>
      <c r="E43" s="7" t="inlineStr">
        <is>
          <t>Parked by you 2026-08-17 so PO work could continue, then answered the same day: ONE MATERIAL PER RESOURCE, not one per company. The group is on a single S/4 client, where a material number is client-level — every company code sees the same number and only the plant and valuation extensions differ — and where a company genuinely buys a different item, that item is already its own COMPANY-scoped leaf, so the hierarchy carries the company dimension without repeating it. Built: ResourceNode.s4Material, an association to the Material mirror (a reference, never a master — materials are created in S/4 and registered here). raisePurchaseRequisition resolves it onto the line when the requisition is raised rather than at push, so remapping a resource later cannot silently change what an already-open requisition buys; a resource with no material leaves the line empty rather than guessing. Scope held to the material number — the wireframe's CO activity type, SAP material type and material group are not modelled until something consumes them</t>
        </is>
      </c>
      <c r="F43" s="11" t="inlineStr">
        <is>
          <t>Closed</t>
        </is>
      </c>
      <c r="G43" s="7" t="inlineStr">
        <is>
          <t>2026-08-17</t>
        </is>
      </c>
    </row>
    <row r="44">
      <c r="A44" s="7" t="inlineStr">
        <is>
          <t>I-36</t>
        </is>
      </c>
      <c r="B44" s="7" t="inlineStr">
        <is>
          <t>UI</t>
        </is>
      </c>
      <c r="C44" s="7" t="inlineStr">
        <is>
          <t>Every Decimal action parameter was unpostable from the UI — including on already-shipped buttons</t>
        </is>
      </c>
      <c r="D44" s="7" t="inlineStr">
        <is>
          <t>Previously recorded as a narrow quirk of Decimals nested inside array-of-complex-type parameters (I found it on distributeToWBS's weight). It is far broader: SAPUI5's v4 ODataModel always negotiates IEEE754Compatible=true and sends Decimals as bare JSON numbers, while CAP Java's action-parameter deserialiser does the opposite of what that flag promises — it accepts a Decimal only as a quoted string when the flag is set, and only as a bare number when it is absent. So the typed setParameter path fails for ANY Decimal parameter. Confirmed by curl in all three combinations. This was silently breaking the Generate Build-up button on both Cost Mapping and Project BOQ (difficultyPct) — shipped, believed working, and never exercised through the UI</t>
        </is>
      </c>
      <c r="E44" s="7" t="inlineStr">
        <is>
          <t>All Decimal-carrying actions now post as a raw authenticated fetch with a plain application/json content type (no IEEE754Compatible), which is why the original distributeToWBS workaround worked — not because it avoided array nesting</t>
        </is>
      </c>
      <c r="F44" s="11" t="inlineStr">
        <is>
          <t>Closed</t>
        </is>
      </c>
      <c r="G44" s="7" t="inlineStr">
        <is>
          <t>2026-08-17</t>
        </is>
      </c>
    </row>
    <row r="45">
      <c r="A45" s="7" t="inlineStr">
        <is>
          <t>I-37</t>
        </is>
      </c>
      <c r="B45" s="7" t="inlineStr">
        <is>
          <t>UI</t>
        </is>
      </c>
      <c r="C45" s="7" t="inlineStr">
        <is>
          <t>Four list-binding traps that silently showed stale or wrong data</t>
        </is>
      </c>
      <c r="D45" s="7" t="inlineStr">
        <is>
          <t>Found while building the Budget screens, each verified live rather than reasoned about. (1) OData v4 cannot expand or dot-navigate an association whose target is not exposed in the SAME service — Budgets.project and BudgetLine.cbs both cross a service boundary, and the failed expand poisoned the whole $batch so unrelated tables rendered empty. (2) A formatter that reads external JS state never re-runs when that state loads later; the CBS column stuck on raw GUIDs and neither refresh() nor checkUpdate fixed it. (3) oBinding.filter() with an unchanged filter array is a no-op that skips the server round trip entirely, so tables did not pick up rows an action had just created. (4) attachEventOnce('dataReceived') attached AFTER filter/refresh gets fired by an in-flight earlier response while the new rows are still empty, leaving counts and KPIs stuck at 0</t>
        </is>
      </c>
      <c r="E45" s="7" t="inlineStr">
        <is>
          <t>(1) resolve cross-service references client-side from the foreign key; (2) put the lookup map on a JSONModel and bind it as a real second binding part; (3) always pair filter() with an explicit refresh(); (4) attach the handler before filter/refresh and read getAllCurrentContexts()</t>
        </is>
      </c>
      <c r="F45" s="11" t="inlineStr">
        <is>
          <t>Closed</t>
        </is>
      </c>
      <c r="G45" s="7" t="inlineStr">
        <is>
          <t>2026-08-17</t>
        </is>
      </c>
    </row>
    <row r="46">
      <c r="A46" s="7" t="inlineStr">
        <is>
          <t>I-38</t>
        </is>
      </c>
      <c r="B46" s="7" t="inlineStr">
        <is>
          <t>UI</t>
        </is>
      </c>
      <c r="C46" s="7" t="inlineStr">
        <is>
          <t>KPI tiles truncated real money to four characters</t>
        </is>
      </c>
      <c r="D46" s="7" t="inlineStr">
        <is>
          <t>sap.m.NumericContent truncates its value at 4 chars by default (truncateValueTo), so a budget total of 381,600 rendered as '3816' with no ellipsis or any other sign that anything had been cut — a wrong number presented as a confident one</t>
        </is>
      </c>
      <c r="E46" s="7" t="inlineStr">
        <is>
          <t>Set truncateValueTo explicitly and format the value with thousands separators before setting it</t>
        </is>
      </c>
      <c r="F46" s="11" t="inlineStr">
        <is>
          <t>Closed</t>
        </is>
      </c>
      <c r="G46" s="7" t="inlineStr">
        <is>
          <t>2026-08-17</t>
        </is>
      </c>
    </row>
    <row r="47">
      <c r="A47" s="7" t="inlineStr">
        <is>
          <t>I-28</t>
        </is>
      </c>
      <c r="B47" s="7" t="inlineStr">
        <is>
          <t>UI</t>
        </is>
      </c>
      <c r="C47" s="7" t="inlineStr">
        <is>
          <t>Draft editing failed three ways</t>
        </is>
      </c>
      <c r="D47" s="7" t="inlineStr">
        <is>
          <t>draftActivate bound against the draftEdit operation context produced nested deferred bindings; expanding associations on a draft failed with 'invalid segment' and swallowed the edit-mode switch; draftEdit refused a second draft, making a master permanently uneditable after a mid-edit tab close</t>
        </is>
      </c>
      <c r="E47" s="7" t="inlineStr">
        <is>
          <t>Re-resolve the draft as an ordinary context, expand only the stored record, and resume an existing draft rather than erroring</t>
        </is>
      </c>
      <c r="F47" s="11" t="inlineStr">
        <is>
          <t>Closed</t>
        </is>
      </c>
      <c r="G47" s="7" t="inlineStr">
        <is>
          <t>2026-08-15</t>
        </is>
      </c>
    </row>
    <row r="48">
      <c r="A48" s="7" t="inlineStr">
        <is>
          <t>I-25</t>
        </is>
      </c>
      <c r="B48" s="7" t="inlineStr">
        <is>
          <t>UI</t>
        </is>
      </c>
      <c r="C48" s="7" t="inlineStr">
        <is>
          <t>Blank screen after the app shell was removed</t>
        </is>
      </c>
      <c r="D48" s="7" t="inlineStr">
        <is>
          <t>Stripping sap.tnt.ToolPage removed the control establishing layout height. UI5 injects a UIArea div that takes no height of its own, and the NavContainer below sets overflow:hidden - so every control was clipped to nothing while still reporting a correct size. DOM text, network and per-element geometry checks all passed while the screen was empty</t>
        </is>
      </c>
      <c r="E48" s="7" t="inlineStr">
        <is>
          <t>Declared the full height chain in style.css. Found by painting a test div (which showed) and then walking the ancestor chain to #container-uiarea</t>
        </is>
      </c>
      <c r="F48" s="11" t="inlineStr">
        <is>
          <t>Closed</t>
        </is>
      </c>
      <c r="G48" s="7" t="inlineStr">
        <is>
          <t>2026-08-15</t>
        </is>
      </c>
    </row>
    <row r="49">
      <c r="A49" s="7" t="inlineStr">
        <is>
          <t>I-26</t>
        </is>
      </c>
      <c r="B49" s="7" t="inlineStr">
        <is>
          <t>Build</t>
        </is>
      </c>
      <c r="C49" s="7" t="inlineStr">
        <is>
          <t>mbt build silently removes cds-dk</t>
        </is>
      </c>
      <c r="D49" s="7" t="inlineStr">
        <is>
          <t>The MTA build runs npm install --production at the root, pruning devDependencies. @sap/cds-dk goes with them and the next Maven build fails with 'cds' is not recognized</t>
        </is>
      </c>
      <c r="E49" s="7" t="inlineStr">
        <is>
          <t>Run npm install after an MTA build</t>
        </is>
      </c>
      <c r="F49" s="11" t="inlineStr">
        <is>
          <t>Closed</t>
        </is>
      </c>
      <c r="G49" s="7" t="inlineStr">
        <is>
          <t>2026-08-15</t>
        </is>
      </c>
    </row>
    <row r="50">
      <c r="A50" s="7" t="inlineStr">
        <is>
          <t>I-23</t>
        </is>
      </c>
      <c r="B50" s="7" t="inlineStr">
        <is>
          <t>Data model</t>
        </is>
      </c>
      <c r="C50" s="7" t="inlineStr">
        <is>
          <t>Self-referencing compositions crashed draft activation</t>
        </is>
      </c>
      <c r="D50" s="7" t="inlineStr">
        <is>
          <t>ResourceNode, CBSNode and CBSInstance each declared children as a Composition of themselves. CAP expands compositions recursively on draft activation, so activating any hierarchy master died with a stack overflow in DraftActionsHandler. Composition also implies cascade-delete, so removing an L2 would have taken its subtree with it</t>
        </is>
      </c>
      <c r="E50" s="7" t="inlineStr">
        <is>
          <t>Changed to Association to many; the hierarchy is owned by parent and children are the inverse</t>
        </is>
      </c>
      <c r="F50" s="11" t="inlineStr">
        <is>
          <t>Closed</t>
        </is>
      </c>
      <c r="G50" s="7" t="inlineStr">
        <is>
          <t>2026-08-15</t>
        </is>
      </c>
    </row>
    <row r="51">
      <c r="A51" s="7" t="inlineStr">
        <is>
          <t>I-21</t>
        </is>
      </c>
      <c r="B51" s="7" t="inlineStr">
        <is>
          <t>Masters</t>
        </is>
      </c>
      <c r="C51" s="7" t="inlineStr">
        <is>
          <t>Company-scoped authorization hid every group-scoped master</t>
        </is>
      </c>
      <c r="D51" s="7" t="inlineStr">
        <is>
          <t>Scoped masters declared companyPath in the authorization catalogue, so the handler added owningCompany.code = 'INFC', which is null on every GROUP row. Each steward saw only their own local master and none of the five shared ones</t>
        </is>
      </c>
      <c r="E51" s="7" t="inlineStr">
        <is>
          <t>The company dimension for scoped entities now belongs to MasterScopeHandler alone; the catalogue declares no companyPath for them</t>
        </is>
      </c>
      <c r="F51" s="11" t="inlineStr">
        <is>
          <t>Closed</t>
        </is>
      </c>
      <c r="G51" s="7" t="inlineStr">
        <is>
          <t>2026-08-15</t>
        </is>
      </c>
    </row>
    <row r="52">
      <c r="A52" s="7" t="inlineStr">
        <is>
          <t>I-22</t>
        </is>
      </c>
      <c r="B52" s="7" t="inlineStr">
        <is>
          <t>Masters</t>
        </is>
      </c>
      <c r="C52" s="7" t="inlineStr">
        <is>
          <t>Promotion approval threw NullPointerException</t>
        </is>
      </c>
      <c r="D52" s="7" t="inlineStr">
        <is>
          <t>Map.of rejects null values and clearing owningCompany_ID is precisely a null</t>
        </is>
      </c>
      <c r="E52" s="7" t="inlineStr">
        <is>
          <t>Use a HashMap for update payloads that clear fields</t>
        </is>
      </c>
      <c r="F52" s="11" t="inlineStr">
        <is>
          <t>Closed</t>
        </is>
      </c>
      <c r="G52" s="7" t="inlineStr">
        <is>
          <t>2026-08-15</t>
        </is>
      </c>
    </row>
    <row r="53">
      <c r="A53" s="7" t="inlineStr">
        <is>
          <t>I-20</t>
        </is>
      </c>
      <c r="B53" s="7" t="inlineStr">
        <is>
          <t>Number ranges</t>
        </is>
      </c>
      <c r="C53" s="7" t="inlineStr">
        <is>
          <t>A range configured on an entity without docNo would fail every create</t>
        </is>
      </c>
      <c r="D53" s="7" t="inlineStr">
        <is>
          <t>konstryx.wf.AdvisoryDecision has no document number; the handler would have written the field regardless</t>
        </is>
      </c>
      <c r="E53" s="7" t="inlineStr">
        <is>
          <t>Handler now skips targets with no docNo element, so a misconfiguration is ignored rather than breaking creates</t>
        </is>
      </c>
      <c r="F53" s="11" t="inlineStr">
        <is>
          <t>Closed</t>
        </is>
      </c>
      <c r="G53" s="7" t="inlineStr">
        <is>
          <t>2026-08-15</t>
        </is>
      </c>
    </row>
    <row r="54">
      <c r="A54" s="7" t="inlineStr">
        <is>
          <t>I-39</t>
        </is>
      </c>
      <c r="B54" s="7" t="inlineStr">
        <is>
          <t>Approvals</t>
        </is>
      </c>
      <c r="C54" s="7" t="inlineStr">
        <is>
          <t>An approval could be raised against an object that does not exist</t>
        </is>
      </c>
      <c r="D54" s="7" t="inlineStr">
        <is>
          <t>The target is polymorphic - an entity name and a key, not a typed association - so no foreign key would ever object. The approval would sit in an inbox indefinitely pointing at nothing</t>
        </is>
      </c>
      <c r="E54" s="7" t="inlineStr">
        <is>
          <t>Submission now checks the entity is in the model and the row is really there</t>
        </is>
      </c>
      <c r="F54" s="11" t="inlineStr">
        <is>
          <t>Closed</t>
        </is>
      </c>
      <c r="G54" s="7" t="inlineStr">
        <is>
          <t>2026-08-15</t>
        </is>
      </c>
    </row>
    <row r="55">
      <c r="A55" s="7" t="inlineStr">
        <is>
          <t>I-30</t>
        </is>
      </c>
      <c r="B55" s="7" t="inlineStr">
        <is>
          <t>Content</t>
        </is>
      </c>
      <c r="C55" s="7" t="inlineStr">
        <is>
          <t>A failing content pack left rows behind that nothing recorded as applied</t>
        </is>
      </c>
      <c r="D55" s="7" t="inlineStr">
        <is>
          <t>Rows were inserted one at a time and the pack's own record written last. When that record failed - a description longer than its column - the rows stayed and the pack looked unapplied</t>
        </is>
      </c>
      <c r="E55" s="7" t="inlineStr">
        <is>
          <t>Each pack now applies in its own change set and is abandoned whole on failure</t>
        </is>
      </c>
      <c r="F55" s="11" t="inlineStr">
        <is>
          <t>Closed</t>
        </is>
      </c>
      <c r="G55" s="7" t="inlineStr">
        <is>
          <t>2026-08-15</t>
        </is>
      </c>
    </row>
    <row r="56">
      <c r="A56" s="7" t="inlineStr">
        <is>
          <t>I-33</t>
        </is>
      </c>
      <c r="B56" s="7" t="inlineStr">
        <is>
          <t>Seed data</t>
        </is>
      </c>
      <c r="C56" s="7" t="inlineStr">
        <is>
          <t>One duplicate key in a seed CSV loads zero rows for that entity, and only logs it at INFO</t>
        </is>
      </c>
      <c r="D56" s="7" t="inlineStr">
        <is>
          <t>The CSV loader cancels the whole entity's change set on a unique-constraint violation. A duplicated PersonaPermission key therefore loaded no permissions at all and every request returned 403, with nothing at WARN or ERROR explaining why</t>
        </is>
      </c>
      <c r="E56" s="7" t="inlineStr">
        <is>
          <t>Duplicate removed. The behaviour itself is unchanged and will recur — see S-27</t>
        </is>
      </c>
      <c r="F56" s="11" t="inlineStr">
        <is>
          <t>Closed</t>
        </is>
      </c>
      <c r="G56" s="7" t="inlineStr">
        <is>
          <t>2026-08-15</t>
        </is>
      </c>
    </row>
    <row r="57">
      <c r="A57" s="7" t="inlineStr">
        <is>
          <t>I-34</t>
        </is>
      </c>
      <c r="B57" s="7" t="inlineStr">
        <is>
          <t>Project Setup</t>
        </is>
      </c>
      <c r="C57" s="7" t="inlineStr">
        <is>
          <t>@readonly on a projection element does not cover the draft path</t>
        </is>
      </c>
      <c r="D57" s="7" t="inlineStr">
        <is>
          <t>CAP dispatches a draft edit as DRAFT_PATCH, which the annotation does not gate. The draft displayed syncStatus SENT and an invented S/4 key. Activation stripped them so the stored record was never wrong, but the user was shown something untrue until they saved</t>
        </is>
      </c>
      <c r="E57" s="7" t="inlineStr">
        <is>
          <t>Guarded on the draft event as well as the active one</t>
        </is>
      </c>
      <c r="F57" s="11" t="inlineStr">
        <is>
          <t>Closed</t>
        </is>
      </c>
      <c r="G57" s="7" t="inlineStr">
        <is>
          <t>2026-08-15</t>
        </is>
      </c>
    </row>
    <row r="58">
      <c r="A58" s="7" t="inlineStr">
        <is>
          <t>I-32</t>
        </is>
      </c>
      <c r="B58" s="7" t="inlineStr">
        <is>
          <t>Personalization</t>
        </is>
      </c>
      <c r="C58" s="7" t="inlineStr">
        <is>
          <t>Every user could read and write every other user's saved layouts</t>
        </is>
      </c>
      <c r="D58" s="7" t="inlineStr">
        <is>
          <t>UserVariant was modelled with a user column and no handler behind it, so nothing filtered reads and nothing stopped the payload naming a different owner. A saved filter names projects, counterparties and cost codes, so another person's variant list tells you what they work on</t>
        </is>
      </c>
      <c r="E58" s="7" t="inlineStr">
        <is>
          <t>Owner is taken from the session; reads are narrowed to own plus published; writes to someone else's answer 404 rather than 403 so the key is not confirmed</t>
        </is>
      </c>
      <c r="F58" s="11" t="inlineStr">
        <is>
          <t>Closed</t>
        </is>
      </c>
      <c r="G58" s="7" t="inlineStr">
        <is>
          <t>2026-08-15</t>
        </is>
      </c>
    </row>
    <row r="59">
      <c r="A59" s="7" t="inlineStr">
        <is>
          <t>I-31</t>
        </is>
      </c>
      <c r="B59" s="7" t="inlineStr">
        <is>
          <t>Approvals</t>
        </is>
      </c>
      <c r="C59" s="7" t="inlineStr">
        <is>
          <t>withdraw and delegate returned 501 Not Implemented</t>
        </is>
      </c>
      <c r="D59" s="7" t="inlineStr">
        <is>
          <t>Both actions were declared in CDS without a return type while their handlers set one, which CAP rejects at the protocol layer rather than at build time. Only reachable by calling them - the build was clean</t>
        </is>
      </c>
      <c r="E59" s="7" t="inlineStr">
        <is>
          <t>Declared returns String on both</t>
        </is>
      </c>
      <c r="F59" s="11" t="inlineStr">
        <is>
          <t>Closed</t>
        </is>
      </c>
      <c r="G59" s="7" t="inlineStr">
        <is>
          <t>2026-08-15</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2026-08-25T09:29:56Z</dcterms:created>
  <dcterms:modified xmlns:dcterms="http://purl.org/dc/terms/" xmlns:xsi="http://www.w3.org/2001/XMLSchema-instance" xsi:type="dcterms:W3CDTF">2026-08-25T09:29:56Z</dcterms:modified>
</cp:coreProperties>
</file>